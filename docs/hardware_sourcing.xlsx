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gle Boat BOM" sheetId="1" state="visible" r:id="rId3"/>
    <sheet name="30-Boat Scaling" sheetId="2" state="visible" r:id="rId4"/>
    <sheet name="Order Tim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<sst xmlns="http://schemas.openxmlformats.org/spreadsheetml/2006/main" count="500" uniqueCount="359">
  <si>
    <t xml:space="preserve">OPEN SOURCE RACING NAVIGATION SYSTEM — SINGLE BOAT SOURCING SHEET</t>
  </si>
  <si>
    <t xml:space="preserve">Priority: P1 = order immediately (prototype start) | P2 = order after P1 validated | P3 = optional/premium/later</t>
  </si>
  <si>
    <t xml:space="preserve">#</t>
  </si>
  <si>
    <t xml:space="preserve">Item</t>
  </si>
  <si>
    <t xml:space="preserve">Part / Model</t>
  </si>
  <si>
    <t xml:space="preserve">Supplier</t>
  </si>
  <si>
    <t xml:space="preserve">Link / Search Term</t>
  </si>
  <si>
    <t xml:space="preserve">Qty</t>
  </si>
  <si>
    <t xml:space="preserve">Unit £</t>
  </si>
  <si>
    <t xml:space="preserve">Total £</t>
  </si>
  <si>
    <t xml:space="preserve">Lead Time</t>
  </si>
  <si>
    <t xml:space="preserve">Priority</t>
  </si>
  <si>
    <t xml:space="preserve">Notes</t>
  </si>
  <si>
    <t xml:space="preserve">Status</t>
  </si>
  <si>
    <t xml:space="preserve">MASTHEAD ASSEMBLY — Wind speed &amp; direction</t>
  </si>
  <si>
    <t xml:space="preserve">Ultrasonic anemometer (NMEA 0183 out)</t>
  </si>
  <si>
    <t xml:space="preserve">Veinasa CXS02B-N</t>
  </si>
  <si>
    <t xml:space="preserve">AliExpress / Veinasa</t>
  </si>
  <si>
    <t xml:space="preserve">AliExpress: search 'Veinasa CXS02B-N NMEA'</t>
  </si>
  <si>
    <t xml:space="preserve">3-4 wks</t>
  </si>
  <si>
    <t xml:space="preserve">P1</t>
  </si>
  <si>
    <t xml:space="preserve">The core sensor. $199 on AliExpress. Specify NMEA 0183 output when ordering (not RS485 or SDI-12). Ask for aluminium housing not ABS if available. Get 4Hz firmware if offered.</t>
  </si>
  <si>
    <t xml:space="preserve">Spare anemometer (break/test unit)</t>
  </si>
  <si>
    <t xml:space="preserve">P2</t>
  </si>
  <si>
    <t xml:space="preserve">Essential. One for development/testing on the bench (you WILL destroy it during lab hardening experiments), one for the boat. At 30-boat scale, order spares at 10% of fleet size.</t>
  </si>
  <si>
    <t xml:space="preserve">IP68 cable gland (M16, 6-12mm cable)</t>
  </si>
  <si>
    <t xml:space="preserve">Bimed M16 IP68</t>
  </si>
  <si>
    <t xml:space="preserve">RS Components</t>
  </si>
  <si>
    <t xml:space="preserve">RS stock no 484-7094 or similar</t>
  </si>
  <si>
    <t xml:space="preserve">1-2 days</t>
  </si>
  <si>
    <t xml:space="preserve">Replaces the Chinese OEM gland which is the #1 water ingress point. Get the right size for your cable OD.</t>
  </si>
  <si>
    <t xml:space="preserve">Marine shielded 4-core cable, 20m</t>
  </si>
  <si>
    <t xml:space="preserve">Oceanflex 4-core 0.75mm² tinned</t>
  </si>
  <si>
    <t xml:space="preserve">ASAP Supplies / chandler</t>
  </si>
  <si>
    <t xml:space="preserve">ASAP: 4-core tinned marine cable</t>
  </si>
  <si>
    <t xml:space="preserve">2-3 days</t>
  </si>
  <si>
    <t xml:space="preserve">Tinned copper, marine grade. Runs mast to below-deck sensor box. NMEA 0183 needs only 2 signal + 2 power cores, 0.75mm² handles the power draw easily.</t>
  </si>
  <si>
    <t xml:space="preserve">Masthead mounting bracket</t>
  </si>
  <si>
    <t xml:space="preserve">Generic stainless steel</t>
  </si>
  <si>
    <t xml:space="preserve">Force 4 / chandler / 3D print</t>
  </si>
  <si>
    <t xml:space="preserve">Search 'masthead wind instrument bracket'</t>
  </si>
  <si>
    <t xml:space="preserve">1 wk</t>
  </si>
  <si>
    <t xml:space="preserve">The Veinasa comes with a flat base. You need a bracket to offset it from the backstay and keep it level. Lab can 3D print in PETG initially.</t>
  </si>
  <si>
    <t xml:space="preserve">Conformal coating spray</t>
  </si>
  <si>
    <t xml:space="preserve">MG Chemicals 422B (340g)</t>
  </si>
  <si>
    <t xml:space="preserve">RS / Farnell</t>
  </si>
  <si>
    <t xml:space="preserve">RS stock no 186-0851</t>
  </si>
  <si>
    <t xml:space="preserve">Urethane coating for internal PCB. Breathable enough to let moisture out but stops corrosion. Standard in marine/aerospace.</t>
  </si>
  <si>
    <t xml:space="preserve">Marine polyurethane potting compound</t>
  </si>
  <si>
    <t xml:space="preserve">Sika SikaBiresin CR82 or equivalent</t>
  </si>
  <si>
    <t xml:space="preserve">RS / Farnell / Sika</t>
  </si>
  <si>
    <t xml:space="preserve">RS: search 'polyurethane potting compound'</t>
  </si>
  <si>
    <t xml:space="preserve">Fill internal air voids. Don't use epoxy — it's rigid and cracks with thermal cycling. PUR flexes.</t>
  </si>
  <si>
    <t xml:space="preserve">Silica gel desiccant packs</t>
  </si>
  <si>
    <t xml:space="preserve">1g indicator packs x 50</t>
  </si>
  <si>
    <t xml:space="preserve">Amazon</t>
  </si>
  <si>
    <t xml:space="preserve">Amazon: 'silica gel packets indicator'</t>
  </si>
  <si>
    <t xml:space="preserve">Go inside every sealed enclosure. Indicator (blue-to-pink) lets you tell when they need replacing.</t>
  </si>
  <si>
    <t xml:space="preserve">Section subtotal:</t>
  </si>
  <si>
    <t xml:space="preserve">HULL ASSEMBLY — Depth sounder (DIY Open Echo path)</t>
  </si>
  <si>
    <t xml:space="preserve">200 kHz ultrasonic transducer, 19mm piezo</t>
  </si>
  <si>
    <t xml:space="preserve">Generic AliExpress fish finder xducer</t>
  </si>
  <si>
    <t xml:space="preserve">AliExpress</t>
  </si>
  <si>
    <t xml:space="preserve">AliExpress: '200khz transducer fish finder'</t>
  </si>
  <si>
    <t xml:space="preserve">The exact part used successfully on the Open Echo project (github.com/Neumi/open_echo). Buy 3 — cheap, you'll destroy some in potting experiments.</t>
  </si>
  <si>
    <t xml:space="preserve">TUSS4470 ultrasonic driver IC</t>
  </si>
  <si>
    <t xml:space="preserve">Texas Instruments TUSS4470</t>
  </si>
  <si>
    <t xml:space="preserve">Mouser / Digi-Key</t>
  </si>
  <si>
    <t xml:space="preserve">Mouser: TUSS4470DDAR</t>
  </si>
  <si>
    <t xml:space="preserve">The driver/receiver chip at the heart of the sonar board. Buy 3-5 for build + spares — they're sensitive to over-voltage during prototyping.</t>
  </si>
  <si>
    <t xml:space="preserve">Arduino Nano (or ESP32 variant)</t>
  </si>
  <si>
    <t xml:space="preserve">Arduino Nano clone (ATmega328P)</t>
  </si>
  <si>
    <t xml:space="preserve">AliExpress / The Pi Hut</t>
  </si>
  <si>
    <t xml:space="preserve">AliExpress: 'Arduino Nano clone'</t>
  </si>
  <si>
    <t xml:space="preserve">2-3 wks</t>
  </si>
  <si>
    <t xml:space="preserve">MCU for the sonar board. Per the Open Echo project. ESP32 works too if you want wifi-native; Nano is simpler.</t>
  </si>
  <si>
    <t xml:space="preserve">MT3608 boost converter module</t>
  </si>
  <si>
    <t xml:space="preserve">Generic MT3608 2A step-up</t>
  </si>
  <si>
    <t xml:space="preserve">AliExpress: 'MT3608 boost converter'</t>
  </si>
  <si>
    <t xml:space="preserve">Boosts 5V USB to the 15-20V drive voltage the TUSS4470 needs for transducer drive.</t>
  </si>
  <si>
    <t xml:space="preserve">Custom PCB — Open Echo shield (5 boards)</t>
  </si>
  <si>
    <t xml:space="preserve">JLCPCB standard 2-layer</t>
  </si>
  <si>
    <t xml:space="preserve">JLCPCB</t>
  </si>
  <si>
    <t xml:space="preserve">jlcpcb.com (use Open Echo Gerbers)</t>
  </si>
  <si>
    <t xml:space="preserve">2 wks inc. ship</t>
  </si>
  <si>
    <t xml:space="preserve">Order after you've built a breadboard prototype. Open Echo publishes Gerbers on GitHub. 5 boards is the min order and costs basically the same as 2.</t>
  </si>
  <si>
    <t xml:space="preserve">Plastic thru-hull depth housing</t>
  </si>
  <si>
    <t xml:space="preserve">Airmar low-profile or generic plastic</t>
  </si>
  <si>
    <t xml:space="preserve">Force 4 / ASAP</t>
  </si>
  <si>
    <t xml:space="preserve">Force4: 'thru-hull transducer housing'</t>
  </si>
  <si>
    <t xml:space="preserve">3-5 days</t>
  </si>
  <si>
    <t xml:space="preserve">The marine-grade housing that goes through the hull. Generic plastic ones (not branded) are fine for ~20m depth use. Includes internal threaded fitting.</t>
  </si>
  <si>
    <t xml:space="preserve">Marine epoxy (transducer bonding)</t>
  </si>
  <si>
    <t xml:space="preserve">West System 105/206 or Loctite EA E-60HP</t>
  </si>
  <si>
    <t xml:space="preserve">chandler / RS</t>
  </si>
  <si>
    <t xml:space="preserve">Force4: 'West System epoxy'</t>
  </si>
  <si>
    <t xml:space="preserve">Bonds the transducer into the housing with an acoustic-transparent layer. Regular epoxy is fine acoustically at 200kHz.</t>
  </si>
  <si>
    <t xml:space="preserve">ALTERNATIVE: Pre-built Chinese depth transducer</t>
  </si>
  <si>
    <t xml:space="preserve">OVA A-P319N NMEA 0183</t>
  </si>
  <si>
    <t xml:space="preserve">Saiyang Marine (Alibaba)</t>
  </si>
  <si>
    <t xml:space="preserve">Alibaba: 'OVA A-P319N'</t>
  </si>
  <si>
    <t xml:space="preserve">P3</t>
  </si>
  <si>
    <t xml:space="preserve">If the DIY route is too much work, this is a drop-in ready NMEA 0183 depth transducer from China at £100 vs £700+ Airmar. Set qty 0 if building DIY.</t>
  </si>
  <si>
    <t xml:space="preserve">SENSOR BOX — ESP32 node below-deck</t>
  </si>
  <si>
    <t xml:space="preserve">ESP32-S3 development board</t>
  </si>
  <si>
    <t xml:space="preserve">ESP32-S3-DevKitC-1U-N8R8</t>
  </si>
  <si>
    <t xml:space="preserve">Mouser</t>
  </si>
  <si>
    <t xml:space="preserve">Mouser: 356-ESP32S3DVKTC1UN8</t>
  </si>
  <si>
    <t xml:space="preserve">Your pick and a good one. External antenna (U.FL) version — essential for a metal/composite boat.</t>
  </si>
  <si>
    <t xml:space="preserve">GPS module — primary pick</t>
  </si>
  <si>
    <t xml:space="preserve">SparkFun GPS-15712 (u-blox NEO-M9N)</t>
  </si>
  <si>
    <t xml:space="preserve">Mouser / The Pi Hut</t>
  </si>
  <si>
    <t xml:space="preserve">Mouser: 474-GPS-15712</t>
  </si>
  <si>
    <t xml:space="preserve">25Hz, multi-constellation, very accurate for start-line work. Racing-grade.</t>
  </si>
  <si>
    <t xml:space="preserve">GPS budget alternative — keep on standby</t>
  </si>
  <si>
    <t xml:space="preserve">Beitian BN-880 (u-blox NEO-M8N)</t>
  </si>
  <si>
    <t xml:space="preserve">AliExpress: 'Beitian BN-880'</t>
  </si>
  <si>
    <t xml:space="preserve">10Hz, multi-constellation, 1/3 the price. Set qty 0 if using NEO-M9N. Good option at fleet-scale for 30 boats — £1000 saved.</t>
  </si>
  <si>
    <t xml:space="preserve">9-DOF IMU (compass/heel/trim)</t>
  </si>
  <si>
    <t xml:space="preserve">Adafruit BNO085 breakout</t>
  </si>
  <si>
    <t xml:space="preserve">The Pi Hut</t>
  </si>
  <si>
    <t xml:space="preserve">thepihut.com: 'BNO085'</t>
  </si>
  <si>
    <t xml:space="preserve">Onboard sensor fusion — saves you weeks of Kalman filter work. Use I2C mode.</t>
  </si>
  <si>
    <t xml:space="preserve">RS232/NMEA 0183 level shifter</t>
  </si>
  <si>
    <t xml:space="preserve">MAX3232 breakout module</t>
  </si>
  <si>
    <t xml:space="preserve">AliExpress: 'MAX3232 module'</t>
  </si>
  <si>
    <t xml:space="preserve">Converts NMEA 0183 (±12V) to ESP32 TTL (3.3V). One for wind sensor input. Buy 2 for backup.</t>
  </si>
  <si>
    <t xml:space="preserve">RS485 level shifter (optional)</t>
  </si>
  <si>
    <t xml:space="preserve">MAX485 breakout module</t>
  </si>
  <si>
    <t xml:space="preserve">AliExpress: 'MAX485 module'</t>
  </si>
  <si>
    <t xml:space="preserve">For any RS485 sensors (if you add depth via Modbus later, or want to run a long-run sensor network on RS485).</t>
  </si>
  <si>
    <t xml:space="preserve">Pressure/temp/humidity sensor</t>
  </si>
  <si>
    <t xml:space="preserve">Bosch BME280 breakout</t>
  </si>
  <si>
    <t xml:space="preserve">AliExpress: 'BME280 breakout'</t>
  </si>
  <si>
    <t xml:space="preserve">Barometric pressure for weather tracking + cabin air data. I2C.</t>
  </si>
  <si>
    <t xml:space="preserve">Waterproof water temp probe</t>
  </si>
  <si>
    <t xml:space="preserve">DS18B20 1-wire stainless</t>
  </si>
  <si>
    <t xml:space="preserve">AliExpress: 'DS18B20 waterproof'</t>
  </si>
  <si>
    <t xml:space="preserve">Sea water temperature. Dangles through the depth-sounder thru-hull or its own small fitting.</t>
  </si>
  <si>
    <t xml:space="preserve">Battery monitor IC</t>
  </si>
  <si>
    <t xml:space="preserve">INA226 breakout</t>
  </si>
  <si>
    <t xml:space="preserve">AliExpress: 'INA226 module'</t>
  </si>
  <si>
    <t xml:space="preserve">Measures battery voltage + current draw. Useful for long races.</t>
  </si>
  <si>
    <t xml:space="preserve">5V switching regulator</t>
  </si>
  <si>
    <t xml:space="preserve">Murata OKI-78SR-5/1.5-W36-C</t>
  </si>
  <si>
    <t xml:space="preserve">Mouser: 811-OKI-78SR-5-15-W36C</t>
  </si>
  <si>
    <t xml:space="preserve">Your pick — good. Drop-in replacement for a 7805 linear but 95% efficient.</t>
  </si>
  <si>
    <t xml:space="preserve">IP65 project enclosure</t>
  </si>
  <si>
    <t xml:space="preserve">Hammond RZ0373C</t>
  </si>
  <si>
    <t xml:space="preserve">Mouser: 546-RZ0373C</t>
  </si>
  <si>
    <t xml:space="preserve">Your pick — good. You'll upgrade to IP68 with gland + potting.</t>
  </si>
  <si>
    <t xml:space="preserve">Custom sensor box PCB (5 boards)</t>
  </si>
  <si>
    <t xml:space="preserve">JLCPCB 2-layer</t>
  </si>
  <si>
    <t xml:space="preserve">jlcpcb.com</t>
  </si>
  <si>
    <t xml:space="preserve">2 wks</t>
  </si>
  <si>
    <t xml:space="preserve">After breadboard prototype validates. Design in KiCad. 5 board min order.</t>
  </si>
  <si>
    <t xml:space="preserve">M8 waterproof panel connectors</t>
  </si>
  <si>
    <t xml:space="preserve">Generic M8 4-pin IP68</t>
  </si>
  <si>
    <t xml:space="preserve">AliExpress: 'M8 4-pin waterproof'</t>
  </si>
  <si>
    <t xml:space="preserve">For clean cable interfaces on the enclosure. 4x = power in, wind sensor in, depth in, USB/debug.</t>
  </si>
  <si>
    <t xml:space="preserve">Passive components kit (R/C/LED)</t>
  </si>
  <si>
    <t xml:space="preserve">0603 SMD or through-hole kit</t>
  </si>
  <si>
    <t xml:space="preserve">AliExpress: '0603 resistor capacitor kit'</t>
  </si>
  <si>
    <t xml:space="preserve">One kit covers your whole prototype phase. Buy once.</t>
  </si>
  <si>
    <t xml:space="preserve">CENTRAL COMPUTER — Pi running OpenPlotter/SignalK</t>
  </si>
  <si>
    <t xml:space="preserve">Raspberry Pi 4 Model B 4GB</t>
  </si>
  <si>
    <t xml:space="preserve">Pi 4B 4GB</t>
  </si>
  <si>
    <t xml:space="preserve">thepihut.com: 'Raspberry Pi 4 4GB'</t>
  </si>
  <si>
    <t xml:space="preserve">4GB is the sweet spot for running OpenPlotter + OpenCPN + SignalK + AvNav simultaneously. Pi 5 is overkill for this. Pi Zero 2 W is not enough.</t>
  </si>
  <si>
    <t xml:space="preserve">Official Pi PSU</t>
  </si>
  <si>
    <t xml:space="preserve">Pi 4 USB-C 5.1V 3A</t>
  </si>
  <si>
    <t xml:space="preserve">thepihut.com: 'Raspberry Pi 4 power supply'</t>
  </si>
  <si>
    <t xml:space="preserve">Generic chargers cause brown-out issues on Pi 4. Get the official one.</t>
  </si>
  <si>
    <t xml:space="preserve">MicroSD card</t>
  </si>
  <si>
    <t xml:space="preserve">SanDisk Extreme Pro 32GB A2</t>
  </si>
  <si>
    <t xml:space="preserve">Amazon / AliExpress</t>
  </si>
  <si>
    <t xml:space="preserve">Amazon: 'SanDisk Extreme Pro 32GB A2'</t>
  </si>
  <si>
    <t xml:space="preserve">A2 rating critical for sustained random I/O performance. Samsung Evo Plus also good.</t>
  </si>
  <si>
    <t xml:space="preserve">Pi 4 case with cooling</t>
  </si>
  <si>
    <t xml:space="preserve">Argon NEO or FLIRC</t>
  </si>
  <si>
    <t xml:space="preserve">thepihut.com: 'Argon NEO Pi 4'</t>
  </si>
  <si>
    <t xml:space="preserve">Aluminium passive cooling. Fan-less. Marine-appropriate. You'll add your own water-resistant outer enclosure.</t>
  </si>
  <si>
    <t xml:space="preserve">12V → 5V USB-C marine converter</t>
  </si>
  <si>
    <t xml:space="preserve">DROK or RIGOIL 12V-5V USB-C 3A</t>
  </si>
  <si>
    <t xml:space="preserve">Amazon: '12V to 5V USB-C marine DC-DC'</t>
  </si>
  <si>
    <t xml:space="preserve">Boat runs 12V. Pi needs 5V/3A USB-C. Marine-grade converter handles the voltage spikes a boat electrical system throws. Don't use a phone car charger.</t>
  </si>
  <si>
    <t xml:space="preserve">OPTIONAL: NMEA 2000 HAT</t>
  </si>
  <si>
    <t xml:space="preserve">PICAN-M with micro-C connector</t>
  </si>
  <si>
    <t xml:space="preserve">SK Pang Electronics</t>
  </si>
  <si>
    <t xml:space="preserve">skpang.co.uk: 'PICAN-M'</t>
  </si>
  <si>
    <t xml:space="preserve">Only needed if you're integrating with other boats' existing B&amp;G/Raymarine systems that speak NMEA 2000. Set qty 1 if yes. For all-DIY sensors stick with NMEA 0183.</t>
  </si>
  <si>
    <t xml:space="preserve">DISPLAY — Kindle e-ink racing repeater</t>
  </si>
  <si>
    <t xml:space="preserve">Kindle Paperwhite (11th/12th gen)</t>
  </si>
  <si>
    <t xml:space="preserve">Amazon Kindle Paperwhite</t>
  </si>
  <si>
    <t xml:space="preserve">Amazon UK</t>
  </si>
  <si>
    <t xml:space="preserve">Amazon: 'Kindle Paperwhite'</t>
  </si>
  <si>
    <t xml:space="preserve">Already IPX8 out of the box — no extra hardening needed. Use 'with ads' version to save £20, ads only show on lock screen. Browser displays SignalK/AvNav dashboard.</t>
  </si>
  <si>
    <t xml:space="preserve">Kindle marine-suitable silicone case</t>
  </si>
  <si>
    <t xml:space="preserve">Generic Kindle case</t>
  </si>
  <si>
    <t xml:space="preserve">Amazon: 'Kindle Paperwhite silicone case'</t>
  </si>
  <si>
    <t xml:space="preserve">Extra impact protection + UV protection. The Kindle is waterproof but the bezel corners crack on impact.</t>
  </si>
  <si>
    <t xml:space="preserve">RAM X-Grip universal tablet mount</t>
  </si>
  <si>
    <t xml:space="preserve">RAM-HOL-UN7BU or similar</t>
  </si>
  <si>
    <t xml:space="preserve">RAM Mounts UK</t>
  </si>
  <si>
    <t xml:space="preserve">rammount.co.uk: 'RAM X-Grip universal'</t>
  </si>
  <si>
    <t xml:space="preserve">The mount is what you buy Raymarine for. RAM makes the best. X-Grip holds any tablet/Kindle, rotates, and handles boat vibration.</t>
  </si>
  <si>
    <t xml:space="preserve">OPTIONAL: BOOX Palma 2 (premium path)</t>
  </si>
  <si>
    <t xml:space="preserve">BOOX Palma 2</t>
  </si>
  <si>
    <t xml:space="preserve">Onyx BOOX / Amazon</t>
  </si>
  <si>
    <t xml:space="preserve">boox.com: 'Palma 2'</t>
  </si>
  <si>
    <t xml:space="preserve">1-2 wks</t>
  </si>
  <si>
    <t xml:space="preserve">Full Android on e-ink in a phone-size form factor. Runs any sailing app. Set qty 1 if you want premium spec. £280 vs £150 Kindle.</t>
  </si>
  <si>
    <t xml:space="preserve">CABLES, CONNECTORS &amp; ELECTRICAL</t>
  </si>
  <si>
    <t xml:space="preserve">12V fused distribution block</t>
  </si>
  <si>
    <t xml:space="preserve">Blue Sea ST Blade 6-circuit</t>
  </si>
  <si>
    <t xml:space="preserve">ASAP Supplies / Amazon</t>
  </si>
  <si>
    <t xml:space="preserve">ASAP: 'Blue Sea ST Blade 6'</t>
  </si>
  <si>
    <t xml:space="preserve">Clean power distribution for all your boxes. Marine-grade. Inline fuses for each load.</t>
  </si>
  <si>
    <t xml:space="preserve">Inline fuse holders</t>
  </si>
  <si>
    <t xml:space="preserve">Waterproof ATO blade fuse holder x 5</t>
  </si>
  <si>
    <t xml:space="preserve">Amazon: 'waterproof inline fuse holder'</t>
  </si>
  <si>
    <t xml:space="preserve">Each sensor/device gets its own fuse. Non-negotiable for marine electrical.</t>
  </si>
  <si>
    <t xml:space="preserve">ATO fuse assortment</t>
  </si>
  <si>
    <t xml:space="preserve">3A/5A/7.5A/10A mixed pack</t>
  </si>
  <si>
    <t xml:space="preserve">Amazon: 'ATO fuse mixed pack'</t>
  </si>
  <si>
    <t xml:space="preserve">Most of your stuff is 3A or 5A. Pi gets 5A. Sensors get 3A.</t>
  </si>
  <si>
    <t xml:space="preserve">Marine crimp terminals (waterproof)</t>
  </si>
  <si>
    <t xml:space="preserve">Heat-shrink butt connectors assortment</t>
  </si>
  <si>
    <t xml:space="preserve">ASAP / Amazon</t>
  </si>
  <si>
    <t xml:space="preserve">Amazon: 'marine heat shrink butt connectors'</t>
  </si>
  <si>
    <t xml:space="preserve">Adhesive-lined heat shrink. The only marine-acceptable crimp. Avoid cheap PVC-sleeved terminals on a boat.</t>
  </si>
  <si>
    <t xml:space="preserve">Heat shrink tubing assortment</t>
  </si>
  <si>
    <t xml:space="preserve">Black/transparent multi-size kit</t>
  </si>
  <si>
    <t xml:space="preserve">AliExpress: 'heat shrink tube kit 3:1'</t>
  </si>
  <si>
    <t xml:space="preserve">3:1 adhesive-lined. Buy the kit — cheaper than individual sizes.</t>
  </si>
  <si>
    <t xml:space="preserve">Wago 221 lever connectors</t>
  </si>
  <si>
    <t xml:space="preserve">Wago 221 mixed pack</t>
  </si>
  <si>
    <t xml:space="preserve">Amazon / RS</t>
  </si>
  <si>
    <t xml:space="preserve">Amazon: 'Wago 221 lever connector'</t>
  </si>
  <si>
    <t xml:space="preserve">For interior dry connections. Marine professionals hate them; in sealed dry boxes they're fine and save huge time.</t>
  </si>
  <si>
    <t xml:space="preserve">UV-resistant cable ties</t>
  </si>
  <si>
    <t xml:space="preserve">Black nylon UV 200mm x 100</t>
  </si>
  <si>
    <t xml:space="preserve">Amazon / chandler</t>
  </si>
  <si>
    <t xml:space="preserve">Amazon: 'UV resistant cable ties marine'</t>
  </si>
  <si>
    <t xml:space="preserve">Standard white ties fail within one season in UV.</t>
  </si>
  <si>
    <t xml:space="preserve">Sikaflex 291 marine sealant</t>
  </si>
  <si>
    <t xml:space="preserve">Sika Sikaflex 291i (300ml)</t>
  </si>
  <si>
    <t xml:space="preserve">chandler</t>
  </si>
  <si>
    <t xml:space="preserve">Force4: 'Sikaflex 291'</t>
  </si>
  <si>
    <t xml:space="preserve">For deck penetrations and final sealing. Standard marine bedding compound.</t>
  </si>
  <si>
    <t xml:space="preserve">ELECTRICAL PROTECTION — essential for masthead gear</t>
  </si>
  <si>
    <t xml:space="preserve">TVS diodes (transient protection)</t>
  </si>
  <si>
    <t xml:space="preserve">SMAJ24CA (24V bidirectional)</t>
  </si>
  <si>
    <t xml:space="preserve">Mouser: 'SMAJ24CA'</t>
  </si>
  <si>
    <t xml:space="preserve">Catches lightning-induced surges + alternator spikes. One on every power/signal line entering your enclosure. Buy 10 — they're tiny.</t>
  </si>
  <si>
    <t xml:space="preserve">Gas discharge tubes (lightning)</t>
  </si>
  <si>
    <t xml:space="preserve">Littelfuse CG2-230L or similar</t>
  </si>
  <si>
    <t xml:space="preserve">Mouser: 'gas discharge tube 230V'</t>
  </si>
  <si>
    <t xml:space="preserve">The first line of defence for a direct/near lightning strike on the mast. One on each conductor of the mast cable at entry to the enclosure. TVS diodes alone won't handle a real strike.</t>
  </si>
  <si>
    <t xml:space="preserve">Ferrite clip-on chokes</t>
  </si>
  <si>
    <t xml:space="preserve">Würth 74271222 or generic clip-on</t>
  </si>
  <si>
    <t xml:space="preserve">Mouser / AliExpress</t>
  </si>
  <si>
    <t xml:space="preserve">AliExpress: 'ferrite clip choke 13mm'</t>
  </si>
  <si>
    <t xml:space="preserve">Clip these on every cable at both ends. VHF at 156MHz will induce noise in your NMEA 0183 lines without them. Cheap insurance.</t>
  </si>
  <si>
    <t xml:space="preserve">Reverse polarity MOSFET protection</t>
  </si>
  <si>
    <t xml:space="preserve">P-channel MOSFET (e.g. IRF9540)</t>
  </si>
  <si>
    <t xml:space="preserve">Mouser: 'IRF9540N TO-220'</t>
  </si>
  <si>
    <t xml:space="preserve">Marine wiring gets connected backwards more often than you think. This protects against it with zero voltage drop (unlike a diode).</t>
  </si>
  <si>
    <t xml:space="preserve">TOOLS &amp; ONE-TIME PURCHASES (buy once, use for 30 boats)</t>
  </si>
  <si>
    <t xml:space="preserve">USB to NMEA 0183 adapter</t>
  </si>
  <si>
    <t xml:space="preserve">Digital Yacht USB-NMEA or Actisense</t>
  </si>
  <si>
    <t xml:space="preserve">Amazon / Digital Yacht</t>
  </si>
  <si>
    <t xml:space="preserve">Amazon: 'USB to NMEA 0183 adapter'</t>
  </si>
  <si>
    <t xml:space="preserve">Critical for testing — plug into laptop to see the raw NMEA stream from your sensors during bench testing.</t>
  </si>
  <si>
    <t xml:space="preserve">USB to RS485 adapter</t>
  </si>
  <si>
    <t xml:space="preserve">FTDI-chip USB-RS485 cable</t>
  </si>
  <si>
    <t xml:space="preserve">AliExpress / Amazon</t>
  </si>
  <si>
    <t xml:space="preserve">AliExpress: 'USB to RS485 FTDI'</t>
  </si>
  <si>
    <t xml:space="preserve">Same but for any RS485 sensors or direct Veinasa testing.</t>
  </si>
  <si>
    <t xml:space="preserve">Soldering station</t>
  </si>
  <si>
    <t xml:space="preserve">Generic 60W temp-controlled</t>
  </si>
  <si>
    <t xml:space="preserve">Amazon: 'soldering station 60W'</t>
  </si>
  <si>
    <t xml:space="preserve">Skip if you have one. Needed for PCB assembly and cable work.</t>
  </si>
  <si>
    <t xml:space="preserve">Multimeter</t>
  </si>
  <si>
    <t xml:space="preserve">Generic auto-ranging DMM</t>
  </si>
  <si>
    <t xml:space="preserve">Amazon: 'digital multimeter'</t>
  </si>
  <si>
    <t xml:space="preserve">Skip if you have one. For debugging everything.</t>
  </si>
  <si>
    <t xml:space="preserve">Pressure test rig (for IP68 verification)</t>
  </si>
  <si>
    <t xml:space="preserve">Aquarium + small aquarium pump + gauge</t>
  </si>
  <si>
    <t xml:space="preserve">DIY / Amazon</t>
  </si>
  <si>
    <t xml:space="preserve">Amazon: 'aquarium pump' + 'pressure gauge'</t>
  </si>
  <si>
    <t xml:space="preserve">Your IP68 validation setup. Submerge the sealed enclosure under 1m water, apply 0.1 bar, wait 30min, check for bubbles + moisture inside afterwards.</t>
  </si>
  <si>
    <t xml:space="preserve">HDMI cable + USB keyboard/mouse (Pi setup)</t>
  </si>
  <si>
    <t xml:space="preserve">Any HDMI + USB combo</t>
  </si>
  <si>
    <t xml:space="preserve">Amazon / already own</t>
  </si>
  <si>
    <t xml:space="preserve">-</t>
  </si>
  <si>
    <t xml:space="preserve">Needed once to set up the Pi. After that it runs headless over WiFi.</t>
  </si>
  <si>
    <t xml:space="preserve">GRAND TOTAL — one complete boat system:</t>
  </si>
  <si>
    <t xml:space="preserve">P1 items only — minimum to start building:</t>
  </si>
  <si>
    <t xml:space="preserve">P2 items — phase 2 after P1 validated:</t>
  </si>
  <si>
    <t xml:space="preserve">P3 items — optional / premium (qty usually 0):</t>
  </si>
  <si>
    <t xml:space="preserve">SCALING TO 30 BOATS — strategic considerations</t>
  </si>
  <si>
    <t xml:space="preserve">Wind sensor (Veinasa)</t>
  </si>
  <si>
    <t xml:space="preserve">At qty 30, contact Sichuan Weinasa Technology directly (sales@weinasa.com or via Alibaba). Expect ~$140-150 per unit (vs $199 AliExpress retail). Also negotiate: (1) 4Hz firmware, (2) factory calibration certificate per unit, (3) custom colour/branding if you want to white-label.</t>
  </si>
  <si>
    <t xml:space="preserve">Depth sounder</t>
  </si>
  <si>
    <t xml:space="preserve">For 30 units the DIY Open Echo route becomes painful (30x PCB assembly, 30x potting). Switch to the Chinese OVA A-P319N at ~£100 each (vs £75 DIY labour-inclusive). Your lab time is worth more than £25/unit. Keep DIY for the prototype and first 2-3 units only.</t>
  </si>
  <si>
    <t xml:space="preserve">Raspberry Pi</t>
  </si>
  <si>
    <t xml:space="preserve">Pi stock fluctuates. Order all 30 Pis together or buy from a volume reseller. Consider Pi Compute Module 4 + custom carrier board if you want a truly integrated product — ~£50/unit for the module but you design your own PCB with connectors, regulator, RTC all built in.</t>
  </si>
  <si>
    <t xml:space="preserve">Kindle Paperwhites</t>
  </si>
  <si>
    <t xml:space="preserve">Buy 35 Kindles (30 + spares) as a business via Amazon Business for ~10% discount. Alternatively buy second-hand/refurbished — a 2-year-old Paperwhite is indistinguishable and £60-80 each.</t>
  </si>
  <si>
    <t xml:space="preserve">PCB manufacturing</t>
  </si>
  <si>
    <t xml:space="preserve">At qty 30 order PCBs + SMT assembly from JLCPCB in a single batch. 30 boards + assembly typically £15-25 per assembled board (vs £40-50 for a one-off). 2-week lead time. Saves you hand-assembly labour.</t>
  </si>
  <si>
    <t xml:space="preserve">IP68 hardening batch process</t>
  </si>
  <si>
    <t xml:space="preserve">Set up a single pour-and-cure session per week: 10 sensor assemblies per weekend. Conformal coat batch in the morning, potting in the afternoon. Label and log each unit with a serial number — essential for warranty/support later.</t>
  </si>
  <si>
    <t xml:space="preserve">Cables &amp; consumables</t>
  </si>
  <si>
    <t xml:space="preserve">Order in bulk: 500m reel of 4-core shielded cable is ~£500 (vs 30 × 20m = £600 cut-length). Fuse holders, terminals, cable ties all drop 40-50% at pack sizes of 100+.</t>
  </si>
  <si>
    <t xml:space="preserve">Fleet-wide software</t>
  </si>
  <si>
    <t xml:space="preserve">Only one copy of every software piece needed (OpenPlotter/OpenCPN/SignalK are free). However, consider setting up: (1) a master Pi image you clone to SD cards, (2) a fleet-management dashboard so owners can update firmware OTA, (3) a shared chart cache + marker buoy database — this is where your 30-boat deployment gets interesting for racing.</t>
  </si>
  <si>
    <t xml:space="preserve">Support &amp; warranty</t>
  </si>
  <si>
    <t xml:space="preserve">30 boats means 30 potential support calls. Budget: swap-out spare sensor node (pre-built) ready for anyone whose box dies. £200 in inventory saves a race weekend. Include a pre-paid return envelope with every unit sold.</t>
  </si>
  <si>
    <t xml:space="preserve">Pricing for resale</t>
  </si>
  <si>
    <t xml:space="preserve">Rough cost at qty 30: £650-750 per boat (parts). Lab assembly labour: estimate 8-10 hours/boat at £25/hr = £200-250. Total cost ~£900-1000/boat. Market price to your 30 local boats: £1500-1800 (still half of B&amp;G, and they know you personally). Gross margin of ~£500-700 per boat, funding your ongoing development.</t>
  </si>
  <si>
    <t xml:space="preserve">IP/licensing risk</t>
  </si>
  <si>
    <t xml:space="preserve">Your software stack is GPL (OpenCPN), Apache 2 (SignalK), MIT/similar. If you sell units you must make your source code + any modifications available. This is usually a strength ('open so you can modify yourself') not a weakness. Check Veinasa's OEM terms — they may have conditions on reselling their hardware integrated into a product.</t>
  </si>
  <si>
    <t xml:space="preserve">ORDER TIMELINE — what to buy when</t>
  </si>
  <si>
    <t xml:space="preserve">When</t>
  </si>
  <si>
    <t xml:space="preserve">Action</t>
  </si>
  <si>
    <t xml:space="preserve">Detail</t>
  </si>
  <si>
    <t xml:space="preserve">Day 0</t>
  </si>
  <si>
    <t xml:space="preserve">Order Week 1 batch — UK fast items</t>
  </si>
  <si>
    <t xml:space="preserve">Kindle Paperwhite, Raspberry Pi 4 + PSU + SD + case, Pi Hut items (BNO085, ESP32-S3), all Mouser items (NEO-M9N, OKI-78SR-5, Hammond enclosure, TUSS4470 ICs, TVS diodes, GDTs). These arrive in 1-5 days and let you start building the software/central computer side immediately.</t>
  </si>
  <si>
    <t xml:space="preserve">Order Week 1 batch — AliExpress / Alibaba slow items</t>
  </si>
  <si>
    <t xml:space="preserve">Veinasa CXS02B-N NMEA 0183 (x2), 200kHz depth transducer (x3), MAX3232/MAX485 modules, MT3608 converters, BME280, DS18B20, INA226, Arduino Nano clones, passives kit, M8 connectors, heat shrink, ferrite chokes. 3-4 weeks lead — order today so they arrive when you're ready for them.</t>
  </si>
  <si>
    <t xml:space="preserve">Week 1</t>
  </si>
  <si>
    <t xml:space="preserve">Start: Pi + OpenPlotter setup</t>
  </si>
  <si>
    <t xml:space="preserve">While AliExpress ships, set up OpenPlotter on the Pi. Install SignalK + OpenCPN + AvNav. Generate fake NMEA data with a Python script to feed SignalK. Point Kindle browser at the AvNav URL. You'll have a working display pipeline before any real sensor arrives.</t>
  </si>
  <si>
    <t xml:space="preserve">Order consumables / ASAP Supplies</t>
  </si>
  <si>
    <t xml:space="preserve">Marine cable, fuse blocks, crimp terminals, Sikaflex, cable glands, distribution block. ASAP Supplies UK ships in 2-3 days.</t>
  </si>
  <si>
    <t xml:space="preserve">Week 2</t>
  </si>
  <si>
    <t xml:space="preserve">Prototype sensor box on breadboard</t>
  </si>
  <si>
    <t xml:space="preserve">When ESP32/GPS/BNO085 arrive — wire up on breadboard, get them reporting into SignalK. Test with fake NMEA wind data. This validates the ESP32 firmware + SignalK integration.</t>
  </si>
  <si>
    <t xml:space="preserve">Week 3-4</t>
  </si>
  <si>
    <t xml:space="preserve">Anemometer arrives — wind sensor integration</t>
  </si>
  <si>
    <t xml:space="preserve">Wire Veinasa → MAX3232 → ESP32 → WiFi → SignalK. Should just be reading NMEA MWV sentences. Test outdoors on a pole before committing to masthead install.</t>
  </si>
  <si>
    <t xml:space="preserve">Week 4</t>
  </si>
  <si>
    <t xml:space="preserve">Build the Open Echo depth sounder</t>
  </si>
  <si>
    <t xml:space="preserve">Breadboard the TUSS4470 + 200kHz transducer. Test in a bucket first (expect 10-30cm reading). Then a swimming pool. Then a marina. Don't skip these stages.</t>
  </si>
  <si>
    <t xml:space="preserve">Week 5-6</t>
  </si>
  <si>
    <t xml:space="preserve">Design custom PCBs</t>
  </si>
  <si>
    <t xml:space="preserve">Once both sensors work on breadboard, design proper PCBs in KiCad. Order 5-board batch from JLCPCB. Order assembled if you've got SMT parts you can't hand-solder.</t>
  </si>
  <si>
    <t xml:space="preserve">Week 6-8</t>
  </si>
  <si>
    <t xml:space="preserve">IP68 hardening trials</t>
  </si>
  <si>
    <t xml:space="preserve">Conformal coat + pot the first prototype enclosures. Pressure-test to 1m water column. Iterate on gland/cable sealing until zero leaks over 30 minutes at 0.1 bar.</t>
  </si>
  <si>
    <t xml:space="preserve">Week 8+</t>
  </si>
  <si>
    <t xml:space="preserve">First on-water test</t>
  </si>
  <si>
    <t xml:space="preserve">Install in one boat. Race with it. Break it. Fix it. Race again. Document everything that goes wrong — these become your installation manual.</t>
  </si>
  <si>
    <t xml:space="preserve">Month 3-4</t>
  </si>
  <si>
    <t xml:space="preserve">Scale decision gate</t>
  </si>
  <si>
    <t xml:space="preserve">Do you have a stable, tested single-boat system? If yes, start the qty 30 bulk order. If no, keep iterating. DO NOT order 30 of anything until one works for a whole season.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</si>
</sst>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57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455A64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FEB9C"/>
      </patternFill>
    </fill>
    <fill>
      <patternFill patternType="solid">
        <fgColor rgb="FF2E7D32"/>
        <bgColor rgb="FF455A64"/>
      </patternFill>
    </fill>
    <fill>
      <patternFill patternType="solid">
        <fgColor rgb="FFFFC7CE"/>
        <bgColor rgb="FFF4B084"/>
      </patternFill>
    </fill>
    <fill>
      <patternFill patternType="solid">
        <fgColor rgb="FF6A1B9A"/>
        <bgColor rgb="FF800080"/>
      </patternFill>
    </fill>
    <fill>
      <patternFill patternType="solid">
        <fgColor rgb="FFC62828"/>
        <bgColor rgb="FF993366"/>
      </patternFill>
    </fill>
    <fill>
      <patternFill patternType="solid">
        <fgColor rgb="FFE65100"/>
        <bgColor rgb="FFC62828"/>
      </patternFill>
    </fill>
    <fill>
      <patternFill patternType="solid">
        <fgColor rgb="FF5D4037"/>
        <bgColor rgb="FF595959"/>
      </patternFill>
    </fill>
    <fill>
      <patternFill patternType="solid">
        <fgColor rgb="FF455A64"/>
        <bgColor rgb="FF595959"/>
      </patternFill>
    </fill>
    <fill>
      <patternFill patternType="solid">
        <fgColor rgb="FF004D40"/>
        <bgColor rgb="FF1F4E79"/>
      </patternFill>
    </fill>
    <fill>
      <patternFill patternType="solid">
        <fgColor rgb="FFF4B084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2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6A1B9A"/>
      <rgbColor rgb="FF008080"/>
      <rgbColor rgb="FFBFBFBF"/>
      <rgbColor rgb="FF455A64"/>
      <rgbColor rgb="FF9999FF"/>
      <rgbColor rgb="FFC62828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004D40"/>
      <rgbColor rgb="FF2E7D32"/>
      <rgbColor rgb="FF003300"/>
      <rgbColor rgb="FF333300"/>
      <rgbColor rgb="FF9C5700"/>
      <rgbColor rgb="FF993366"/>
      <rgbColor rgb="FF1F4E79"/>
      <rgbColor rgb="FF5D40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55"/>
    <col collapsed="false" customWidth="true" hidden="false" outlineLevel="0" max="12" min="12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6" customFormat="false" ht="21.75" hidden="false" customHeight="true" outlineLevel="0" collapsed="false">
      <c r="A6" s="4" t="s">
        <v>14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48" hidden="false" customHeight="true" outlineLevel="0" collapsed="false">
      <c r="A7" s="5" t="n">
        <v>1</v>
      </c>
      <c r="B7" s="6" t="s">
        <v>15</v>
      </c>
      <c r="C7" s="6" t="s">
        <v>16</v>
      </c>
      <c r="D7" s="6" t="s">
        <v>17</v>
      </c>
      <c r="E7" s="7" t="s">
        <v>18</v>
      </c>
      <c r="F7" s="8" t="n">
        <v>1</v>
      </c>
      <c r="G7" s="9" t="n">
        <v>155</v>
      </c>
      <c r="H7" s="9" t="n">
        <f aca="false">F7*G7</f>
        <v>155</v>
      </c>
      <c r="I7" s="6" t="s">
        <v>19</v>
      </c>
      <c r="J7" s="10" t="s">
        <v>20</v>
      </c>
      <c r="K7" s="11" t="s">
        <v>21</v>
      </c>
      <c r="L7" s="6"/>
    </row>
    <row r="8" customFormat="false" ht="48" hidden="false" customHeight="true" outlineLevel="0" collapsed="false">
      <c r="A8" s="5" t="n">
        <v>2</v>
      </c>
      <c r="B8" s="6" t="s">
        <v>22</v>
      </c>
      <c r="C8" s="6" t="s">
        <v>16</v>
      </c>
      <c r="D8" s="6" t="s">
        <v>17</v>
      </c>
      <c r="E8" s="7" t="s">
        <v>18</v>
      </c>
      <c r="F8" s="8" t="n">
        <v>1</v>
      </c>
      <c r="G8" s="9" t="n">
        <v>155</v>
      </c>
      <c r="H8" s="9" t="n">
        <f aca="false">F8*G8</f>
        <v>155</v>
      </c>
      <c r="I8" s="6" t="s">
        <v>19</v>
      </c>
      <c r="J8" s="12" t="s">
        <v>23</v>
      </c>
      <c r="K8" s="11" t="s">
        <v>24</v>
      </c>
      <c r="L8" s="6"/>
    </row>
    <row r="9" customFormat="false" ht="31.5" hidden="false" customHeight="true" outlineLevel="0" collapsed="false">
      <c r="A9" s="5" t="n">
        <v>3</v>
      </c>
      <c r="B9" s="6" t="s">
        <v>25</v>
      </c>
      <c r="C9" s="6" t="s">
        <v>26</v>
      </c>
      <c r="D9" s="6" t="s">
        <v>27</v>
      </c>
      <c r="E9" s="7" t="s">
        <v>28</v>
      </c>
      <c r="F9" s="8" t="n">
        <v>1</v>
      </c>
      <c r="G9" s="9" t="n">
        <v>3.5</v>
      </c>
      <c r="H9" s="9" t="n">
        <f aca="false">F9*G9</f>
        <v>3.5</v>
      </c>
      <c r="I9" s="6" t="s">
        <v>29</v>
      </c>
      <c r="J9" s="10" t="s">
        <v>20</v>
      </c>
      <c r="K9" s="11" t="s">
        <v>30</v>
      </c>
      <c r="L9" s="6"/>
    </row>
    <row r="10" customFormat="false" ht="36" hidden="false" customHeight="true" outlineLevel="0" collapsed="false">
      <c r="A10" s="5" t="n">
        <v>4</v>
      </c>
      <c r="B10" s="6" t="s">
        <v>31</v>
      </c>
      <c r="C10" s="6" t="s">
        <v>32</v>
      </c>
      <c r="D10" s="6" t="s">
        <v>33</v>
      </c>
      <c r="E10" s="7" t="s">
        <v>34</v>
      </c>
      <c r="F10" s="8" t="n">
        <v>1</v>
      </c>
      <c r="G10" s="9" t="n">
        <v>55</v>
      </c>
      <c r="H10" s="9" t="n">
        <f aca="false">F10*G10</f>
        <v>55</v>
      </c>
      <c r="I10" s="6" t="s">
        <v>35</v>
      </c>
      <c r="J10" s="10" t="s">
        <v>20</v>
      </c>
      <c r="K10" s="11" t="s">
        <v>36</v>
      </c>
      <c r="L10" s="6"/>
    </row>
    <row r="11" customFormat="false" ht="36" hidden="false" customHeight="true" outlineLevel="0" collapsed="false">
      <c r="A11" s="5" t="n">
        <v>5</v>
      </c>
      <c r="B11" s="6" t="s">
        <v>37</v>
      </c>
      <c r="C11" s="6" t="s">
        <v>38</v>
      </c>
      <c r="D11" s="6" t="s">
        <v>39</v>
      </c>
      <c r="E11" s="7" t="s">
        <v>40</v>
      </c>
      <c r="F11" s="8" t="n">
        <v>1</v>
      </c>
      <c r="G11" s="9" t="n">
        <v>30</v>
      </c>
      <c r="H11" s="9" t="n">
        <f aca="false">F11*G11</f>
        <v>30</v>
      </c>
      <c r="I11" s="6" t="s">
        <v>41</v>
      </c>
      <c r="J11" s="12" t="s">
        <v>23</v>
      </c>
      <c r="K11" s="11" t="s">
        <v>42</v>
      </c>
      <c r="L11" s="6"/>
    </row>
    <row r="12" customFormat="false" ht="36" hidden="false" customHeight="true" outlineLevel="0" collapsed="false">
      <c r="A12" s="5" t="n">
        <v>6</v>
      </c>
      <c r="B12" s="6" t="s">
        <v>43</v>
      </c>
      <c r="C12" s="6" t="s">
        <v>44</v>
      </c>
      <c r="D12" s="6" t="s">
        <v>45</v>
      </c>
      <c r="E12" s="7" t="s">
        <v>46</v>
      </c>
      <c r="F12" s="8" t="n">
        <v>1</v>
      </c>
      <c r="G12" s="9" t="n">
        <v>15</v>
      </c>
      <c r="H12" s="9" t="n">
        <f aca="false">F12*G12</f>
        <v>15</v>
      </c>
      <c r="I12" s="6" t="s">
        <v>29</v>
      </c>
      <c r="J12" s="10" t="s">
        <v>20</v>
      </c>
      <c r="K12" s="11" t="s">
        <v>47</v>
      </c>
      <c r="L12" s="6"/>
    </row>
    <row r="13" customFormat="false" ht="31.5" hidden="false" customHeight="true" outlineLevel="0" collapsed="false">
      <c r="A13" s="5" t="n">
        <v>7</v>
      </c>
      <c r="B13" s="6" t="s">
        <v>48</v>
      </c>
      <c r="C13" s="6" t="s">
        <v>49</v>
      </c>
      <c r="D13" s="6" t="s">
        <v>50</v>
      </c>
      <c r="E13" s="7" t="s">
        <v>51</v>
      </c>
      <c r="F13" s="8" t="n">
        <v>1</v>
      </c>
      <c r="G13" s="9" t="n">
        <v>28</v>
      </c>
      <c r="H13" s="9" t="n">
        <f aca="false">F13*G13</f>
        <v>28</v>
      </c>
      <c r="I13" s="6" t="s">
        <v>41</v>
      </c>
      <c r="J13" s="10" t="s">
        <v>20</v>
      </c>
      <c r="K13" s="11" t="s">
        <v>52</v>
      </c>
      <c r="L13" s="6"/>
    </row>
    <row r="14" customFormat="false" ht="31.5" hidden="false" customHeight="true" outlineLevel="0" collapsed="false">
      <c r="A14" s="5" t="n">
        <v>8</v>
      </c>
      <c r="B14" s="6" t="s">
        <v>53</v>
      </c>
      <c r="C14" s="6" t="s">
        <v>54</v>
      </c>
      <c r="D14" s="6" t="s">
        <v>55</v>
      </c>
      <c r="E14" s="7" t="s">
        <v>56</v>
      </c>
      <c r="F14" s="8" t="n">
        <v>1</v>
      </c>
      <c r="G14" s="9" t="n">
        <v>6</v>
      </c>
      <c r="H14" s="9" t="n">
        <f aca="false">F14*G14</f>
        <v>6</v>
      </c>
      <c r="I14" s="6" t="s">
        <v>29</v>
      </c>
      <c r="J14" s="10" t="s">
        <v>20</v>
      </c>
      <c r="K14" s="11" t="s">
        <v>57</v>
      </c>
      <c r="L14" s="6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4" t="s">
        <v>58</v>
      </c>
      <c r="H15" s="15" t="n">
        <f aca="false">SUM(H7:H14)</f>
        <v>447.5</v>
      </c>
      <c r="I15" s="13"/>
      <c r="J15" s="13"/>
      <c r="K15" s="13"/>
      <c r="L15" s="13"/>
    </row>
    <row r="17" customFormat="false" ht="21.75" hidden="false" customHeight="true" outlineLevel="0" collapsed="false">
      <c r="A17" s="16" t="s">
        <v>59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customFormat="false" ht="36" hidden="false" customHeight="true" outlineLevel="0" collapsed="false">
      <c r="A18" s="5" t="n">
        <v>9</v>
      </c>
      <c r="B18" s="6" t="s">
        <v>60</v>
      </c>
      <c r="C18" s="6" t="s">
        <v>61</v>
      </c>
      <c r="D18" s="6" t="s">
        <v>62</v>
      </c>
      <c r="E18" s="7" t="s">
        <v>63</v>
      </c>
      <c r="F18" s="8" t="n">
        <v>1</v>
      </c>
      <c r="G18" s="9" t="n">
        <v>12</v>
      </c>
      <c r="H18" s="9" t="n">
        <f aca="false">F18*G18</f>
        <v>12</v>
      </c>
      <c r="I18" s="6" t="s">
        <v>19</v>
      </c>
      <c r="J18" s="10" t="s">
        <v>20</v>
      </c>
      <c r="K18" s="11" t="s">
        <v>64</v>
      </c>
      <c r="L18" s="6"/>
    </row>
    <row r="19" customFormat="false" ht="36" hidden="false" customHeight="true" outlineLevel="0" collapsed="false">
      <c r="A19" s="5" t="n">
        <v>10</v>
      </c>
      <c r="B19" s="6" t="s">
        <v>65</v>
      </c>
      <c r="C19" s="6" t="s">
        <v>66</v>
      </c>
      <c r="D19" s="6" t="s">
        <v>67</v>
      </c>
      <c r="E19" s="7" t="s">
        <v>68</v>
      </c>
      <c r="F19" s="8" t="n">
        <v>3</v>
      </c>
      <c r="G19" s="9" t="n">
        <v>6.5</v>
      </c>
      <c r="H19" s="9" t="n">
        <f aca="false">F19*G19</f>
        <v>19.5</v>
      </c>
      <c r="I19" s="6" t="s">
        <v>41</v>
      </c>
      <c r="J19" s="10" t="s">
        <v>20</v>
      </c>
      <c r="K19" s="11" t="s">
        <v>69</v>
      </c>
      <c r="L19" s="6"/>
    </row>
    <row r="20" customFormat="false" ht="31.5" hidden="false" customHeight="true" outlineLevel="0" collapsed="false">
      <c r="A20" s="5" t="n">
        <v>11</v>
      </c>
      <c r="B20" s="6" t="s">
        <v>70</v>
      </c>
      <c r="C20" s="6" t="s">
        <v>71</v>
      </c>
      <c r="D20" s="6" t="s">
        <v>72</v>
      </c>
      <c r="E20" s="7" t="s">
        <v>73</v>
      </c>
      <c r="F20" s="8" t="n">
        <v>2</v>
      </c>
      <c r="G20" s="9" t="n">
        <v>5</v>
      </c>
      <c r="H20" s="9" t="n">
        <f aca="false">F20*G20</f>
        <v>10</v>
      </c>
      <c r="I20" s="6" t="s">
        <v>74</v>
      </c>
      <c r="J20" s="10" t="s">
        <v>20</v>
      </c>
      <c r="K20" s="11" t="s">
        <v>75</v>
      </c>
      <c r="L20" s="6"/>
    </row>
    <row r="21" customFormat="false" ht="31.5" hidden="false" customHeight="true" outlineLevel="0" collapsed="false">
      <c r="A21" s="5" t="n">
        <v>12</v>
      </c>
      <c r="B21" s="6" t="s">
        <v>76</v>
      </c>
      <c r="C21" s="6" t="s">
        <v>77</v>
      </c>
      <c r="D21" s="6" t="s">
        <v>62</v>
      </c>
      <c r="E21" s="7" t="s">
        <v>78</v>
      </c>
      <c r="F21" s="8" t="n">
        <v>2</v>
      </c>
      <c r="G21" s="9" t="n">
        <v>2</v>
      </c>
      <c r="H21" s="9" t="n">
        <f aca="false">F21*G21</f>
        <v>4</v>
      </c>
      <c r="I21" s="6" t="s">
        <v>74</v>
      </c>
      <c r="J21" s="10" t="s">
        <v>20</v>
      </c>
      <c r="K21" s="11" t="s">
        <v>79</v>
      </c>
      <c r="L21" s="6"/>
    </row>
    <row r="22" customFormat="false" ht="36" hidden="false" customHeight="true" outlineLevel="0" collapsed="false">
      <c r="A22" s="5" t="n">
        <v>13</v>
      </c>
      <c r="B22" s="6" t="s">
        <v>80</v>
      </c>
      <c r="C22" s="6" t="s">
        <v>81</v>
      </c>
      <c r="D22" s="6" t="s">
        <v>82</v>
      </c>
      <c r="E22" s="7" t="s">
        <v>83</v>
      </c>
      <c r="F22" s="8" t="n">
        <v>1</v>
      </c>
      <c r="G22" s="9" t="n">
        <v>18</v>
      </c>
      <c r="H22" s="9" t="n">
        <f aca="false">F22*G22</f>
        <v>18</v>
      </c>
      <c r="I22" s="6" t="s">
        <v>84</v>
      </c>
      <c r="J22" s="12" t="s">
        <v>23</v>
      </c>
      <c r="K22" s="11" t="s">
        <v>85</v>
      </c>
      <c r="L22" s="6"/>
    </row>
    <row r="23" customFormat="false" ht="36" hidden="false" customHeight="true" outlineLevel="0" collapsed="false">
      <c r="A23" s="5" t="n">
        <v>14</v>
      </c>
      <c r="B23" s="6" t="s">
        <v>86</v>
      </c>
      <c r="C23" s="6" t="s">
        <v>87</v>
      </c>
      <c r="D23" s="6" t="s">
        <v>88</v>
      </c>
      <c r="E23" s="7" t="s">
        <v>89</v>
      </c>
      <c r="F23" s="8" t="n">
        <v>1</v>
      </c>
      <c r="G23" s="9" t="n">
        <v>28</v>
      </c>
      <c r="H23" s="9" t="n">
        <f aca="false">F23*G23</f>
        <v>28</v>
      </c>
      <c r="I23" s="6" t="s">
        <v>90</v>
      </c>
      <c r="J23" s="12" t="s">
        <v>23</v>
      </c>
      <c r="K23" s="11" t="s">
        <v>91</v>
      </c>
      <c r="L23" s="6"/>
    </row>
    <row r="24" customFormat="false" ht="36" hidden="false" customHeight="true" outlineLevel="0" collapsed="false">
      <c r="A24" s="5" t="n">
        <v>15</v>
      </c>
      <c r="B24" s="6" t="s">
        <v>92</v>
      </c>
      <c r="C24" s="6" t="s">
        <v>93</v>
      </c>
      <c r="D24" s="6" t="s">
        <v>94</v>
      </c>
      <c r="E24" s="7" t="s">
        <v>95</v>
      </c>
      <c r="F24" s="8" t="n">
        <v>1</v>
      </c>
      <c r="G24" s="9" t="n">
        <v>12</v>
      </c>
      <c r="H24" s="9" t="n">
        <f aca="false">F24*G24</f>
        <v>12</v>
      </c>
      <c r="I24" s="6" t="s">
        <v>29</v>
      </c>
      <c r="J24" s="12" t="s">
        <v>23</v>
      </c>
      <c r="K24" s="11" t="s">
        <v>96</v>
      </c>
      <c r="L24" s="6"/>
    </row>
    <row r="25" customFormat="false" ht="36" hidden="false" customHeight="true" outlineLevel="0" collapsed="false">
      <c r="A25" s="5" t="n">
        <v>16</v>
      </c>
      <c r="B25" s="6" t="s">
        <v>97</v>
      </c>
      <c r="C25" s="6" t="s">
        <v>98</v>
      </c>
      <c r="D25" s="6" t="s">
        <v>99</v>
      </c>
      <c r="E25" s="7" t="s">
        <v>100</v>
      </c>
      <c r="F25" s="8" t="n">
        <v>0</v>
      </c>
      <c r="G25" s="9" t="n">
        <v>105</v>
      </c>
      <c r="H25" s="9" t="n">
        <f aca="false">F25*G25</f>
        <v>0</v>
      </c>
      <c r="I25" s="6" t="s">
        <v>19</v>
      </c>
      <c r="J25" s="17" t="s">
        <v>101</v>
      </c>
      <c r="K25" s="11" t="s">
        <v>102</v>
      </c>
      <c r="L25" s="6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4" t="s">
        <v>58</v>
      </c>
      <c r="H26" s="15" t="n">
        <f aca="false">SUM(H18:H25)</f>
        <v>103.5</v>
      </c>
      <c r="I26" s="13"/>
      <c r="J26" s="13"/>
      <c r="K26" s="13"/>
      <c r="L26" s="13"/>
    </row>
    <row r="28" customFormat="false" ht="21.75" hidden="false" customHeight="true" outlineLevel="0" collapsed="false">
      <c r="A28" s="18" t="s">
        <v>103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customFormat="false" ht="31.5" hidden="false" customHeight="true" outlineLevel="0" collapsed="false">
      <c r="A29" s="5" t="n">
        <v>17</v>
      </c>
      <c r="B29" s="6" t="s">
        <v>104</v>
      </c>
      <c r="C29" s="6" t="s">
        <v>105</v>
      </c>
      <c r="D29" s="6" t="s">
        <v>106</v>
      </c>
      <c r="E29" s="7" t="s">
        <v>107</v>
      </c>
      <c r="F29" s="8" t="n">
        <v>1</v>
      </c>
      <c r="G29" s="9" t="n">
        <v>12</v>
      </c>
      <c r="H29" s="9" t="n">
        <f aca="false">F29*G29</f>
        <v>12</v>
      </c>
      <c r="I29" s="6" t="s">
        <v>41</v>
      </c>
      <c r="J29" s="10" t="s">
        <v>20</v>
      </c>
      <c r="K29" s="11" t="s">
        <v>108</v>
      </c>
      <c r="L29" s="6"/>
    </row>
    <row r="30" customFormat="false" ht="31.5" hidden="false" customHeight="true" outlineLevel="0" collapsed="false">
      <c r="A30" s="5" t="n">
        <v>18</v>
      </c>
      <c r="B30" s="6" t="s">
        <v>109</v>
      </c>
      <c r="C30" s="6" t="s">
        <v>110</v>
      </c>
      <c r="D30" s="6" t="s">
        <v>111</v>
      </c>
      <c r="E30" s="7" t="s">
        <v>112</v>
      </c>
      <c r="F30" s="8" t="n">
        <v>1</v>
      </c>
      <c r="G30" s="9" t="n">
        <v>53</v>
      </c>
      <c r="H30" s="9" t="n">
        <f aca="false">F30*G30</f>
        <v>53</v>
      </c>
      <c r="I30" s="6" t="s">
        <v>41</v>
      </c>
      <c r="J30" s="10" t="s">
        <v>20</v>
      </c>
      <c r="K30" s="11" t="s">
        <v>113</v>
      </c>
      <c r="L30" s="6"/>
    </row>
    <row r="31" customFormat="false" ht="36" hidden="false" customHeight="true" outlineLevel="0" collapsed="false">
      <c r="A31" s="5" t="n">
        <v>19</v>
      </c>
      <c r="B31" s="6" t="s">
        <v>114</v>
      </c>
      <c r="C31" s="6" t="s">
        <v>115</v>
      </c>
      <c r="D31" s="6" t="s">
        <v>62</v>
      </c>
      <c r="E31" s="7" t="s">
        <v>116</v>
      </c>
      <c r="F31" s="8" t="n">
        <v>0</v>
      </c>
      <c r="G31" s="9" t="n">
        <v>18</v>
      </c>
      <c r="H31" s="9" t="n">
        <f aca="false">F31*G31</f>
        <v>0</v>
      </c>
      <c r="I31" s="6" t="s">
        <v>74</v>
      </c>
      <c r="J31" s="17" t="s">
        <v>101</v>
      </c>
      <c r="K31" s="11" t="s">
        <v>117</v>
      </c>
      <c r="L31" s="6"/>
    </row>
    <row r="32" customFormat="false" ht="31.5" hidden="false" customHeight="true" outlineLevel="0" collapsed="false">
      <c r="A32" s="5" t="n">
        <v>20</v>
      </c>
      <c r="B32" s="6" t="s">
        <v>118</v>
      </c>
      <c r="C32" s="6" t="s">
        <v>119</v>
      </c>
      <c r="D32" s="6" t="s">
        <v>120</v>
      </c>
      <c r="E32" s="7" t="s">
        <v>121</v>
      </c>
      <c r="F32" s="8" t="n">
        <v>1</v>
      </c>
      <c r="G32" s="9" t="n">
        <v>27.5</v>
      </c>
      <c r="H32" s="9" t="n">
        <f aca="false">F32*G32</f>
        <v>27.5</v>
      </c>
      <c r="I32" s="6" t="s">
        <v>35</v>
      </c>
      <c r="J32" s="10" t="s">
        <v>20</v>
      </c>
      <c r="K32" s="11" t="s">
        <v>122</v>
      </c>
      <c r="L32" s="6"/>
    </row>
    <row r="33" customFormat="false" ht="31.5" hidden="false" customHeight="true" outlineLevel="0" collapsed="false">
      <c r="A33" s="5" t="n">
        <v>21</v>
      </c>
      <c r="B33" s="6" t="s">
        <v>123</v>
      </c>
      <c r="C33" s="6" t="s">
        <v>124</v>
      </c>
      <c r="D33" s="6" t="s">
        <v>62</v>
      </c>
      <c r="E33" s="7" t="s">
        <v>125</v>
      </c>
      <c r="F33" s="8" t="n">
        <v>2</v>
      </c>
      <c r="G33" s="9" t="n">
        <v>2</v>
      </c>
      <c r="H33" s="9" t="n">
        <f aca="false">F33*G33</f>
        <v>4</v>
      </c>
      <c r="I33" s="6" t="s">
        <v>74</v>
      </c>
      <c r="J33" s="10" t="s">
        <v>20</v>
      </c>
      <c r="K33" s="11" t="s">
        <v>126</v>
      </c>
      <c r="L33" s="6"/>
    </row>
    <row r="34" customFormat="false" ht="31.5" hidden="false" customHeight="true" outlineLevel="0" collapsed="false">
      <c r="A34" s="5" t="n">
        <v>22</v>
      </c>
      <c r="B34" s="6" t="s">
        <v>127</v>
      </c>
      <c r="C34" s="6" t="s">
        <v>128</v>
      </c>
      <c r="D34" s="6" t="s">
        <v>62</v>
      </c>
      <c r="E34" s="7" t="s">
        <v>129</v>
      </c>
      <c r="F34" s="8" t="n">
        <v>2</v>
      </c>
      <c r="G34" s="9" t="n">
        <v>2</v>
      </c>
      <c r="H34" s="9" t="n">
        <f aca="false">F34*G34</f>
        <v>4</v>
      </c>
      <c r="I34" s="6" t="s">
        <v>74</v>
      </c>
      <c r="J34" s="12" t="s">
        <v>23</v>
      </c>
      <c r="K34" s="11" t="s">
        <v>130</v>
      </c>
      <c r="L34" s="6"/>
    </row>
    <row r="35" customFormat="false" ht="31.5" hidden="false" customHeight="true" outlineLevel="0" collapsed="false">
      <c r="A35" s="5" t="n">
        <v>23</v>
      </c>
      <c r="B35" s="6" t="s">
        <v>131</v>
      </c>
      <c r="C35" s="6" t="s">
        <v>132</v>
      </c>
      <c r="D35" s="6" t="s">
        <v>62</v>
      </c>
      <c r="E35" s="7" t="s">
        <v>133</v>
      </c>
      <c r="F35" s="8" t="n">
        <v>1</v>
      </c>
      <c r="G35" s="9" t="n">
        <v>3</v>
      </c>
      <c r="H35" s="9" t="n">
        <f aca="false">F35*G35</f>
        <v>3</v>
      </c>
      <c r="I35" s="6" t="s">
        <v>74</v>
      </c>
      <c r="J35" s="10" t="s">
        <v>20</v>
      </c>
      <c r="K35" s="11" t="s">
        <v>134</v>
      </c>
      <c r="L35" s="6"/>
    </row>
    <row r="36" customFormat="false" ht="31.5" hidden="false" customHeight="true" outlineLevel="0" collapsed="false">
      <c r="A36" s="5" t="n">
        <v>24</v>
      </c>
      <c r="B36" s="6" t="s">
        <v>135</v>
      </c>
      <c r="C36" s="6" t="s">
        <v>136</v>
      </c>
      <c r="D36" s="6" t="s">
        <v>62</v>
      </c>
      <c r="E36" s="7" t="s">
        <v>137</v>
      </c>
      <c r="F36" s="8" t="n">
        <v>1</v>
      </c>
      <c r="G36" s="9" t="n">
        <v>3</v>
      </c>
      <c r="H36" s="9" t="n">
        <f aca="false">F36*G36</f>
        <v>3</v>
      </c>
      <c r="I36" s="6" t="s">
        <v>74</v>
      </c>
      <c r="J36" s="12" t="s">
        <v>23</v>
      </c>
      <c r="K36" s="11" t="s">
        <v>138</v>
      </c>
      <c r="L36" s="6"/>
    </row>
    <row r="37" customFormat="false" ht="31.5" hidden="false" customHeight="true" outlineLevel="0" collapsed="false">
      <c r="A37" s="5" t="n">
        <v>25</v>
      </c>
      <c r="B37" s="6" t="s">
        <v>139</v>
      </c>
      <c r="C37" s="6" t="s">
        <v>140</v>
      </c>
      <c r="D37" s="6" t="s">
        <v>62</v>
      </c>
      <c r="E37" s="7" t="s">
        <v>141</v>
      </c>
      <c r="F37" s="8" t="n">
        <v>1</v>
      </c>
      <c r="G37" s="9" t="n">
        <v>4</v>
      </c>
      <c r="H37" s="9" t="n">
        <f aca="false">F37*G37</f>
        <v>4</v>
      </c>
      <c r="I37" s="6" t="s">
        <v>74</v>
      </c>
      <c r="J37" s="12" t="s">
        <v>23</v>
      </c>
      <c r="K37" s="11" t="s">
        <v>142</v>
      </c>
      <c r="L37" s="6"/>
    </row>
    <row r="38" customFormat="false" ht="31.5" hidden="false" customHeight="true" outlineLevel="0" collapsed="false">
      <c r="A38" s="5" t="n">
        <v>26</v>
      </c>
      <c r="B38" s="6" t="s">
        <v>143</v>
      </c>
      <c r="C38" s="6" t="s">
        <v>144</v>
      </c>
      <c r="D38" s="6" t="s">
        <v>106</v>
      </c>
      <c r="E38" s="7" t="s">
        <v>145</v>
      </c>
      <c r="F38" s="8" t="n">
        <v>1</v>
      </c>
      <c r="G38" s="9" t="n">
        <v>5.33</v>
      </c>
      <c r="H38" s="9" t="n">
        <f aca="false">F38*G38</f>
        <v>5.33</v>
      </c>
      <c r="I38" s="6" t="s">
        <v>41</v>
      </c>
      <c r="J38" s="10" t="s">
        <v>20</v>
      </c>
      <c r="K38" s="11" t="s">
        <v>146</v>
      </c>
      <c r="L38" s="6"/>
    </row>
    <row r="39" customFormat="false" ht="31.5" hidden="false" customHeight="true" outlineLevel="0" collapsed="false">
      <c r="A39" s="5" t="n">
        <v>27</v>
      </c>
      <c r="B39" s="6" t="s">
        <v>147</v>
      </c>
      <c r="C39" s="6" t="s">
        <v>148</v>
      </c>
      <c r="D39" s="6" t="s">
        <v>106</v>
      </c>
      <c r="E39" s="7" t="s">
        <v>149</v>
      </c>
      <c r="F39" s="8" t="n">
        <v>1</v>
      </c>
      <c r="G39" s="9" t="n">
        <v>20.34</v>
      </c>
      <c r="H39" s="9" t="n">
        <f aca="false">F39*G39</f>
        <v>20.34</v>
      </c>
      <c r="I39" s="6" t="s">
        <v>41</v>
      </c>
      <c r="J39" s="10" t="s">
        <v>20</v>
      </c>
      <c r="K39" s="11" t="s">
        <v>150</v>
      </c>
      <c r="L39" s="6"/>
    </row>
    <row r="40" customFormat="false" ht="31.5" hidden="false" customHeight="true" outlineLevel="0" collapsed="false">
      <c r="A40" s="5" t="n">
        <v>28</v>
      </c>
      <c r="B40" s="6" t="s">
        <v>151</v>
      </c>
      <c r="C40" s="6" t="s">
        <v>152</v>
      </c>
      <c r="D40" s="6" t="s">
        <v>82</v>
      </c>
      <c r="E40" s="7" t="s">
        <v>153</v>
      </c>
      <c r="F40" s="8" t="n">
        <v>1</v>
      </c>
      <c r="G40" s="9" t="n">
        <v>22</v>
      </c>
      <c r="H40" s="9" t="n">
        <f aca="false">F40*G40</f>
        <v>22</v>
      </c>
      <c r="I40" s="6" t="s">
        <v>154</v>
      </c>
      <c r="J40" s="12" t="s">
        <v>23</v>
      </c>
      <c r="K40" s="11" t="s">
        <v>155</v>
      </c>
      <c r="L40" s="6"/>
    </row>
    <row r="41" customFormat="false" ht="31.5" hidden="false" customHeight="true" outlineLevel="0" collapsed="false">
      <c r="A41" s="5" t="n">
        <v>29</v>
      </c>
      <c r="B41" s="6" t="s">
        <v>156</v>
      </c>
      <c r="C41" s="6" t="s">
        <v>157</v>
      </c>
      <c r="D41" s="6" t="s">
        <v>62</v>
      </c>
      <c r="E41" s="7" t="s">
        <v>158</v>
      </c>
      <c r="F41" s="8" t="n">
        <v>4</v>
      </c>
      <c r="G41" s="9" t="n">
        <v>4</v>
      </c>
      <c r="H41" s="9" t="n">
        <f aca="false">F41*G41</f>
        <v>16</v>
      </c>
      <c r="I41" s="6" t="s">
        <v>74</v>
      </c>
      <c r="J41" s="12" t="s">
        <v>23</v>
      </c>
      <c r="K41" s="11" t="s">
        <v>159</v>
      </c>
      <c r="L41" s="6"/>
    </row>
    <row r="42" customFormat="false" ht="31.5" hidden="false" customHeight="true" outlineLevel="0" collapsed="false">
      <c r="A42" s="5" t="n">
        <v>30</v>
      </c>
      <c r="B42" s="6" t="s">
        <v>160</v>
      </c>
      <c r="C42" s="6" t="s">
        <v>161</v>
      </c>
      <c r="D42" s="6" t="s">
        <v>62</v>
      </c>
      <c r="E42" s="7" t="s">
        <v>162</v>
      </c>
      <c r="F42" s="8" t="n">
        <v>1</v>
      </c>
      <c r="G42" s="9" t="n">
        <v>12</v>
      </c>
      <c r="H42" s="9" t="n">
        <f aca="false">F42*G42</f>
        <v>12</v>
      </c>
      <c r="I42" s="6" t="s">
        <v>74</v>
      </c>
      <c r="J42" s="10" t="s">
        <v>20</v>
      </c>
      <c r="K42" s="11" t="s">
        <v>163</v>
      </c>
      <c r="L42" s="6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4" t="s">
        <v>58</v>
      </c>
      <c r="H43" s="15" t="n">
        <f aca="false">SUM(H29:H42)</f>
        <v>186.17</v>
      </c>
      <c r="I43" s="13"/>
      <c r="J43" s="13"/>
      <c r="K43" s="13"/>
      <c r="L43" s="13"/>
    </row>
    <row r="45" customFormat="false" ht="21.75" hidden="false" customHeight="true" outlineLevel="0" collapsed="false">
      <c r="A45" s="19" t="s">
        <v>164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customFormat="false" ht="36" hidden="false" customHeight="true" outlineLevel="0" collapsed="false">
      <c r="A46" s="5" t="n">
        <v>31</v>
      </c>
      <c r="B46" s="6" t="s">
        <v>165</v>
      </c>
      <c r="C46" s="6" t="s">
        <v>166</v>
      </c>
      <c r="D46" s="6" t="s">
        <v>120</v>
      </c>
      <c r="E46" s="7" t="s">
        <v>167</v>
      </c>
      <c r="F46" s="8" t="n">
        <v>1</v>
      </c>
      <c r="G46" s="9" t="n">
        <v>75</v>
      </c>
      <c r="H46" s="9" t="n">
        <f aca="false">F46*G46</f>
        <v>75</v>
      </c>
      <c r="I46" s="6" t="s">
        <v>35</v>
      </c>
      <c r="J46" s="10" t="s">
        <v>20</v>
      </c>
      <c r="K46" s="11" t="s">
        <v>168</v>
      </c>
      <c r="L46" s="6"/>
    </row>
    <row r="47" customFormat="false" ht="31.5" hidden="false" customHeight="true" outlineLevel="0" collapsed="false">
      <c r="A47" s="5" t="n">
        <v>32</v>
      </c>
      <c r="B47" s="6" t="s">
        <v>169</v>
      </c>
      <c r="C47" s="6" t="s">
        <v>170</v>
      </c>
      <c r="D47" s="6" t="s">
        <v>120</v>
      </c>
      <c r="E47" s="7" t="s">
        <v>171</v>
      </c>
      <c r="F47" s="8" t="n">
        <v>1</v>
      </c>
      <c r="G47" s="9" t="n">
        <v>10</v>
      </c>
      <c r="H47" s="9" t="n">
        <f aca="false">F47*G47</f>
        <v>10</v>
      </c>
      <c r="I47" s="6" t="s">
        <v>35</v>
      </c>
      <c r="J47" s="10" t="s">
        <v>20</v>
      </c>
      <c r="K47" s="11" t="s">
        <v>172</v>
      </c>
      <c r="L47" s="6"/>
    </row>
    <row r="48" customFormat="false" ht="31.5" hidden="false" customHeight="true" outlineLevel="0" collapsed="false">
      <c r="A48" s="5" t="n">
        <v>33</v>
      </c>
      <c r="B48" s="6" t="s">
        <v>173</v>
      </c>
      <c r="C48" s="6" t="s">
        <v>174</v>
      </c>
      <c r="D48" s="6" t="s">
        <v>175</v>
      </c>
      <c r="E48" s="7" t="s">
        <v>176</v>
      </c>
      <c r="F48" s="8" t="n">
        <v>1</v>
      </c>
      <c r="G48" s="9" t="n">
        <v>12</v>
      </c>
      <c r="H48" s="9" t="n">
        <f aca="false">F48*G48</f>
        <v>12</v>
      </c>
      <c r="I48" s="6" t="s">
        <v>29</v>
      </c>
      <c r="J48" s="10" t="s">
        <v>20</v>
      </c>
      <c r="K48" s="11" t="s">
        <v>177</v>
      </c>
      <c r="L48" s="6"/>
    </row>
    <row r="49" customFormat="false" ht="31.5" hidden="false" customHeight="true" outlineLevel="0" collapsed="false">
      <c r="A49" s="5" t="n">
        <v>34</v>
      </c>
      <c r="B49" s="6" t="s">
        <v>178</v>
      </c>
      <c r="C49" s="6" t="s">
        <v>179</v>
      </c>
      <c r="D49" s="6" t="s">
        <v>120</v>
      </c>
      <c r="E49" s="7" t="s">
        <v>180</v>
      </c>
      <c r="F49" s="8" t="n">
        <v>1</v>
      </c>
      <c r="G49" s="9" t="n">
        <v>18</v>
      </c>
      <c r="H49" s="9" t="n">
        <f aca="false">F49*G49</f>
        <v>18</v>
      </c>
      <c r="I49" s="6" t="s">
        <v>35</v>
      </c>
      <c r="J49" s="10" t="s">
        <v>20</v>
      </c>
      <c r="K49" s="11" t="s">
        <v>181</v>
      </c>
      <c r="L49" s="6"/>
    </row>
    <row r="50" customFormat="false" ht="36" hidden="false" customHeight="true" outlineLevel="0" collapsed="false">
      <c r="A50" s="5" t="n">
        <v>35</v>
      </c>
      <c r="B50" s="6" t="s">
        <v>182</v>
      </c>
      <c r="C50" s="6" t="s">
        <v>183</v>
      </c>
      <c r="D50" s="6" t="s">
        <v>55</v>
      </c>
      <c r="E50" s="7" t="s">
        <v>184</v>
      </c>
      <c r="F50" s="8" t="n">
        <v>1</v>
      </c>
      <c r="G50" s="9" t="n">
        <v>15</v>
      </c>
      <c r="H50" s="9" t="n">
        <f aca="false">F50*G50</f>
        <v>15</v>
      </c>
      <c r="I50" s="6" t="s">
        <v>29</v>
      </c>
      <c r="J50" s="10" t="s">
        <v>20</v>
      </c>
      <c r="K50" s="11" t="s">
        <v>185</v>
      </c>
      <c r="L50" s="6"/>
    </row>
    <row r="51" customFormat="false" ht="36" hidden="false" customHeight="true" outlineLevel="0" collapsed="false">
      <c r="A51" s="5" t="n">
        <v>36</v>
      </c>
      <c r="B51" s="6" t="s">
        <v>186</v>
      </c>
      <c r="C51" s="6" t="s">
        <v>187</v>
      </c>
      <c r="D51" s="6" t="s">
        <v>188</v>
      </c>
      <c r="E51" s="7" t="s">
        <v>189</v>
      </c>
      <c r="F51" s="8" t="n">
        <v>0</v>
      </c>
      <c r="G51" s="9" t="n">
        <v>95</v>
      </c>
      <c r="H51" s="9" t="n">
        <f aca="false">F51*G51</f>
        <v>0</v>
      </c>
      <c r="I51" s="6" t="s">
        <v>90</v>
      </c>
      <c r="J51" s="17" t="s">
        <v>101</v>
      </c>
      <c r="K51" s="11" t="s">
        <v>190</v>
      </c>
      <c r="L51" s="6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4" t="s">
        <v>58</v>
      </c>
      <c r="H52" s="15" t="n">
        <f aca="false">SUM(H46:H51)</f>
        <v>130</v>
      </c>
      <c r="I52" s="13"/>
      <c r="J52" s="13"/>
      <c r="K52" s="13"/>
      <c r="L52" s="13"/>
    </row>
    <row r="54" customFormat="false" ht="21.75" hidden="false" customHeight="true" outlineLevel="0" collapsed="false">
      <c r="A54" s="20" t="s">
        <v>191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customFormat="false" ht="36" hidden="false" customHeight="true" outlineLevel="0" collapsed="false">
      <c r="A55" s="5" t="n">
        <v>37</v>
      </c>
      <c r="B55" s="6" t="s">
        <v>192</v>
      </c>
      <c r="C55" s="6" t="s">
        <v>193</v>
      </c>
      <c r="D55" s="6" t="s">
        <v>194</v>
      </c>
      <c r="E55" s="7" t="s">
        <v>195</v>
      </c>
      <c r="F55" s="8" t="n">
        <v>1</v>
      </c>
      <c r="G55" s="9" t="n">
        <v>150</v>
      </c>
      <c r="H55" s="9" t="n">
        <f aca="false">F55*G55</f>
        <v>150</v>
      </c>
      <c r="I55" s="6" t="s">
        <v>29</v>
      </c>
      <c r="J55" s="10" t="s">
        <v>20</v>
      </c>
      <c r="K55" s="11" t="s">
        <v>196</v>
      </c>
      <c r="L55" s="6"/>
    </row>
    <row r="56" customFormat="false" ht="31.5" hidden="false" customHeight="true" outlineLevel="0" collapsed="false">
      <c r="A56" s="5" t="n">
        <v>38</v>
      </c>
      <c r="B56" s="6" t="s">
        <v>197</v>
      </c>
      <c r="C56" s="6" t="s">
        <v>198</v>
      </c>
      <c r="D56" s="6" t="s">
        <v>55</v>
      </c>
      <c r="E56" s="7" t="s">
        <v>199</v>
      </c>
      <c r="F56" s="8" t="n">
        <v>1</v>
      </c>
      <c r="G56" s="9" t="n">
        <v>15</v>
      </c>
      <c r="H56" s="9" t="n">
        <f aca="false">F56*G56</f>
        <v>15</v>
      </c>
      <c r="I56" s="6" t="s">
        <v>29</v>
      </c>
      <c r="J56" s="10" t="s">
        <v>20</v>
      </c>
      <c r="K56" s="11" t="s">
        <v>200</v>
      </c>
      <c r="L56" s="6"/>
    </row>
    <row r="57" customFormat="false" ht="36" hidden="false" customHeight="true" outlineLevel="0" collapsed="false">
      <c r="A57" s="5" t="n">
        <v>39</v>
      </c>
      <c r="B57" s="6" t="s">
        <v>201</v>
      </c>
      <c r="C57" s="6" t="s">
        <v>202</v>
      </c>
      <c r="D57" s="6" t="s">
        <v>203</v>
      </c>
      <c r="E57" s="7" t="s">
        <v>204</v>
      </c>
      <c r="F57" s="8" t="n">
        <v>1</v>
      </c>
      <c r="G57" s="9" t="n">
        <v>45</v>
      </c>
      <c r="H57" s="9" t="n">
        <f aca="false">F57*G57</f>
        <v>45</v>
      </c>
      <c r="I57" s="6" t="s">
        <v>90</v>
      </c>
      <c r="J57" s="12" t="s">
        <v>23</v>
      </c>
      <c r="K57" s="11" t="s">
        <v>205</v>
      </c>
      <c r="L57" s="6"/>
    </row>
    <row r="58" customFormat="false" ht="36" hidden="false" customHeight="true" outlineLevel="0" collapsed="false">
      <c r="A58" s="5" t="n">
        <v>40</v>
      </c>
      <c r="B58" s="6" t="s">
        <v>206</v>
      </c>
      <c r="C58" s="6" t="s">
        <v>207</v>
      </c>
      <c r="D58" s="6" t="s">
        <v>208</v>
      </c>
      <c r="E58" s="7" t="s">
        <v>209</v>
      </c>
      <c r="F58" s="8" t="n">
        <v>0</v>
      </c>
      <c r="G58" s="9" t="n">
        <v>280</v>
      </c>
      <c r="H58" s="9" t="n">
        <f aca="false">F58*G58</f>
        <v>0</v>
      </c>
      <c r="I58" s="6" t="s">
        <v>210</v>
      </c>
      <c r="J58" s="17" t="s">
        <v>101</v>
      </c>
      <c r="K58" s="11" t="s">
        <v>211</v>
      </c>
      <c r="L58" s="6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4" t="s">
        <v>58</v>
      </c>
      <c r="H59" s="15" t="n">
        <f aca="false">SUM(H55:H58)</f>
        <v>210</v>
      </c>
      <c r="I59" s="13"/>
      <c r="J59" s="13"/>
      <c r="K59" s="13"/>
      <c r="L59" s="13"/>
    </row>
    <row r="61" customFormat="false" ht="21.75" hidden="false" customHeight="true" outlineLevel="0" collapsed="false">
      <c r="A61" s="21" t="s">
        <v>212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customFormat="false" ht="31.5" hidden="false" customHeight="true" outlineLevel="0" collapsed="false">
      <c r="A62" s="5" t="n">
        <v>41</v>
      </c>
      <c r="B62" s="6" t="s">
        <v>213</v>
      </c>
      <c r="C62" s="6" t="s">
        <v>214</v>
      </c>
      <c r="D62" s="6" t="s">
        <v>215</v>
      </c>
      <c r="E62" s="7" t="s">
        <v>216</v>
      </c>
      <c r="F62" s="8" t="n">
        <v>1</v>
      </c>
      <c r="G62" s="9" t="n">
        <v>25</v>
      </c>
      <c r="H62" s="9" t="n">
        <f aca="false">F62*G62</f>
        <v>25</v>
      </c>
      <c r="I62" s="6" t="s">
        <v>35</v>
      </c>
      <c r="J62" s="10" t="s">
        <v>20</v>
      </c>
      <c r="K62" s="11" t="s">
        <v>217</v>
      </c>
      <c r="L62" s="6"/>
    </row>
    <row r="63" customFormat="false" ht="31.5" hidden="false" customHeight="true" outlineLevel="0" collapsed="false">
      <c r="A63" s="5" t="n">
        <v>42</v>
      </c>
      <c r="B63" s="6" t="s">
        <v>218</v>
      </c>
      <c r="C63" s="6" t="s">
        <v>219</v>
      </c>
      <c r="D63" s="6" t="s">
        <v>55</v>
      </c>
      <c r="E63" s="7" t="s">
        <v>220</v>
      </c>
      <c r="F63" s="8" t="n">
        <v>1</v>
      </c>
      <c r="G63" s="9" t="n">
        <v>12</v>
      </c>
      <c r="H63" s="9" t="n">
        <f aca="false">F63*G63</f>
        <v>12</v>
      </c>
      <c r="I63" s="6" t="s">
        <v>29</v>
      </c>
      <c r="J63" s="10" t="s">
        <v>20</v>
      </c>
      <c r="K63" s="11" t="s">
        <v>221</v>
      </c>
      <c r="L63" s="6"/>
    </row>
    <row r="64" customFormat="false" ht="31.5" hidden="false" customHeight="true" outlineLevel="0" collapsed="false">
      <c r="A64" s="5" t="n">
        <v>43</v>
      </c>
      <c r="B64" s="6" t="s">
        <v>222</v>
      </c>
      <c r="C64" s="6" t="s">
        <v>223</v>
      </c>
      <c r="D64" s="6" t="s">
        <v>55</v>
      </c>
      <c r="E64" s="7" t="s">
        <v>224</v>
      </c>
      <c r="F64" s="8" t="n">
        <v>1</v>
      </c>
      <c r="G64" s="9" t="n">
        <v>6</v>
      </c>
      <c r="H64" s="9" t="n">
        <f aca="false">F64*G64</f>
        <v>6</v>
      </c>
      <c r="I64" s="6" t="s">
        <v>29</v>
      </c>
      <c r="J64" s="10" t="s">
        <v>20</v>
      </c>
      <c r="K64" s="11" t="s">
        <v>225</v>
      </c>
      <c r="L64" s="6"/>
    </row>
    <row r="65" customFormat="false" ht="31.5" hidden="false" customHeight="true" outlineLevel="0" collapsed="false">
      <c r="A65" s="5" t="n">
        <v>44</v>
      </c>
      <c r="B65" s="6" t="s">
        <v>226</v>
      </c>
      <c r="C65" s="6" t="s">
        <v>227</v>
      </c>
      <c r="D65" s="6" t="s">
        <v>228</v>
      </c>
      <c r="E65" s="7" t="s">
        <v>229</v>
      </c>
      <c r="F65" s="8" t="n">
        <v>1</v>
      </c>
      <c r="G65" s="9" t="n">
        <v>18</v>
      </c>
      <c r="H65" s="9" t="n">
        <f aca="false">F65*G65</f>
        <v>18</v>
      </c>
      <c r="I65" s="6" t="s">
        <v>29</v>
      </c>
      <c r="J65" s="10" t="s">
        <v>20</v>
      </c>
      <c r="K65" s="11" t="s">
        <v>230</v>
      </c>
      <c r="L65" s="6"/>
    </row>
    <row r="66" customFormat="false" ht="31.5" hidden="false" customHeight="true" outlineLevel="0" collapsed="false">
      <c r="A66" s="5" t="n">
        <v>45</v>
      </c>
      <c r="B66" s="6" t="s">
        <v>231</v>
      </c>
      <c r="C66" s="6" t="s">
        <v>232</v>
      </c>
      <c r="D66" s="6" t="s">
        <v>62</v>
      </c>
      <c r="E66" s="7" t="s">
        <v>233</v>
      </c>
      <c r="F66" s="8" t="n">
        <v>1</v>
      </c>
      <c r="G66" s="9" t="n">
        <v>10</v>
      </c>
      <c r="H66" s="9" t="n">
        <f aca="false">F66*G66</f>
        <v>10</v>
      </c>
      <c r="I66" s="6" t="s">
        <v>74</v>
      </c>
      <c r="J66" s="10" t="s">
        <v>20</v>
      </c>
      <c r="K66" s="11" t="s">
        <v>234</v>
      </c>
      <c r="L66" s="6"/>
    </row>
    <row r="67" customFormat="false" ht="36" hidden="false" customHeight="true" outlineLevel="0" collapsed="false">
      <c r="A67" s="5" t="n">
        <v>46</v>
      </c>
      <c r="B67" s="6" t="s">
        <v>235</v>
      </c>
      <c r="C67" s="6" t="s">
        <v>236</v>
      </c>
      <c r="D67" s="6" t="s">
        <v>237</v>
      </c>
      <c r="E67" s="7" t="s">
        <v>238</v>
      </c>
      <c r="F67" s="8" t="n">
        <v>1</v>
      </c>
      <c r="G67" s="9" t="n">
        <v>18</v>
      </c>
      <c r="H67" s="9" t="n">
        <f aca="false">F67*G67</f>
        <v>18</v>
      </c>
      <c r="I67" s="6" t="s">
        <v>29</v>
      </c>
      <c r="J67" s="10" t="s">
        <v>20</v>
      </c>
      <c r="K67" s="11" t="s">
        <v>239</v>
      </c>
      <c r="L67" s="6"/>
    </row>
    <row r="68" customFormat="false" ht="31.5" hidden="false" customHeight="true" outlineLevel="0" collapsed="false">
      <c r="A68" s="5" t="n">
        <v>47</v>
      </c>
      <c r="B68" s="6" t="s">
        <v>240</v>
      </c>
      <c r="C68" s="6" t="s">
        <v>241</v>
      </c>
      <c r="D68" s="6" t="s">
        <v>242</v>
      </c>
      <c r="E68" s="7" t="s">
        <v>243</v>
      </c>
      <c r="F68" s="8" t="n">
        <v>1</v>
      </c>
      <c r="G68" s="9" t="n">
        <v>8</v>
      </c>
      <c r="H68" s="9" t="n">
        <f aca="false">F68*G68</f>
        <v>8</v>
      </c>
      <c r="I68" s="6" t="s">
        <v>29</v>
      </c>
      <c r="J68" s="10" t="s">
        <v>20</v>
      </c>
      <c r="K68" s="11" t="s">
        <v>244</v>
      </c>
      <c r="L68" s="6"/>
    </row>
    <row r="69" customFormat="false" ht="31.5" hidden="false" customHeight="true" outlineLevel="0" collapsed="false">
      <c r="A69" s="5" t="n">
        <v>48</v>
      </c>
      <c r="B69" s="6" t="s">
        <v>245</v>
      </c>
      <c r="C69" s="6" t="s">
        <v>246</v>
      </c>
      <c r="D69" s="6" t="s">
        <v>247</v>
      </c>
      <c r="E69" s="7" t="s">
        <v>248</v>
      </c>
      <c r="F69" s="8" t="n">
        <v>1</v>
      </c>
      <c r="G69" s="9" t="n">
        <v>15</v>
      </c>
      <c r="H69" s="9" t="n">
        <f aca="false">F69*G69</f>
        <v>15</v>
      </c>
      <c r="I69" s="6" t="s">
        <v>35</v>
      </c>
      <c r="J69" s="10" t="s">
        <v>20</v>
      </c>
      <c r="K69" s="11" t="s">
        <v>249</v>
      </c>
      <c r="L69" s="6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4" t="s">
        <v>58</v>
      </c>
      <c r="H70" s="15" t="n">
        <f aca="false">SUM(H62:H69)</f>
        <v>112</v>
      </c>
      <c r="I70" s="13"/>
      <c r="J70" s="13"/>
      <c r="K70" s="13"/>
      <c r="L70" s="13"/>
    </row>
    <row r="72" customFormat="false" ht="21.75" hidden="false" customHeight="true" outlineLevel="0" collapsed="false">
      <c r="A72" s="22" t="s">
        <v>250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customFormat="false" ht="36" hidden="false" customHeight="true" outlineLevel="0" collapsed="false">
      <c r="A73" s="5" t="n">
        <v>49</v>
      </c>
      <c r="B73" s="6" t="s">
        <v>251</v>
      </c>
      <c r="C73" s="6" t="s">
        <v>252</v>
      </c>
      <c r="D73" s="6" t="s">
        <v>106</v>
      </c>
      <c r="E73" s="7" t="s">
        <v>253</v>
      </c>
      <c r="F73" s="8" t="n">
        <v>10</v>
      </c>
      <c r="G73" s="9" t="n">
        <v>0.5</v>
      </c>
      <c r="H73" s="9" t="n">
        <f aca="false">F73*G73</f>
        <v>5</v>
      </c>
      <c r="I73" s="6" t="s">
        <v>41</v>
      </c>
      <c r="J73" s="10" t="s">
        <v>20</v>
      </c>
      <c r="K73" s="11" t="s">
        <v>254</v>
      </c>
      <c r="L73" s="6"/>
    </row>
    <row r="74" customFormat="false" ht="48" hidden="false" customHeight="true" outlineLevel="0" collapsed="false">
      <c r="A74" s="5" t="n">
        <v>50</v>
      </c>
      <c r="B74" s="6" t="s">
        <v>255</v>
      </c>
      <c r="C74" s="6" t="s">
        <v>256</v>
      </c>
      <c r="D74" s="6" t="s">
        <v>106</v>
      </c>
      <c r="E74" s="7" t="s">
        <v>257</v>
      </c>
      <c r="F74" s="8" t="n">
        <v>4</v>
      </c>
      <c r="G74" s="9" t="n">
        <v>3.5</v>
      </c>
      <c r="H74" s="9" t="n">
        <f aca="false">F74*G74</f>
        <v>14</v>
      </c>
      <c r="I74" s="6" t="s">
        <v>41</v>
      </c>
      <c r="J74" s="10" t="s">
        <v>20</v>
      </c>
      <c r="K74" s="11" t="s">
        <v>258</v>
      </c>
      <c r="L74" s="6"/>
    </row>
    <row r="75" customFormat="false" ht="36" hidden="false" customHeight="true" outlineLevel="0" collapsed="false">
      <c r="A75" s="5" t="n">
        <v>51</v>
      </c>
      <c r="B75" s="6" t="s">
        <v>259</v>
      </c>
      <c r="C75" s="6" t="s">
        <v>260</v>
      </c>
      <c r="D75" s="6" t="s">
        <v>261</v>
      </c>
      <c r="E75" s="7" t="s">
        <v>262</v>
      </c>
      <c r="F75" s="8" t="n">
        <v>8</v>
      </c>
      <c r="G75" s="9" t="n">
        <v>1</v>
      </c>
      <c r="H75" s="9" t="n">
        <f aca="false">F75*G75</f>
        <v>8</v>
      </c>
      <c r="I75" s="6" t="s">
        <v>74</v>
      </c>
      <c r="J75" s="10" t="s">
        <v>20</v>
      </c>
      <c r="K75" s="11" t="s">
        <v>263</v>
      </c>
      <c r="L75" s="6"/>
    </row>
    <row r="76" customFormat="false" ht="36" hidden="false" customHeight="true" outlineLevel="0" collapsed="false">
      <c r="A76" s="5" t="n">
        <v>52</v>
      </c>
      <c r="B76" s="6" t="s">
        <v>264</v>
      </c>
      <c r="C76" s="6" t="s">
        <v>265</v>
      </c>
      <c r="D76" s="6" t="s">
        <v>106</v>
      </c>
      <c r="E76" s="7" t="s">
        <v>266</v>
      </c>
      <c r="F76" s="8" t="n">
        <v>3</v>
      </c>
      <c r="G76" s="9" t="n">
        <v>1</v>
      </c>
      <c r="H76" s="9" t="n">
        <f aca="false">F76*G76</f>
        <v>3</v>
      </c>
      <c r="I76" s="6" t="s">
        <v>41</v>
      </c>
      <c r="J76" s="10" t="s">
        <v>20</v>
      </c>
      <c r="K76" s="11" t="s">
        <v>267</v>
      </c>
      <c r="L76" s="6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4" t="s">
        <v>58</v>
      </c>
      <c r="H77" s="15" t="n">
        <f aca="false">SUM(H73:H76)</f>
        <v>30</v>
      </c>
      <c r="I77" s="13"/>
      <c r="J77" s="13"/>
      <c r="K77" s="13"/>
      <c r="L77" s="13"/>
    </row>
    <row r="79" customFormat="false" ht="21.75" hidden="false" customHeight="true" outlineLevel="0" collapsed="false">
      <c r="A79" s="23" t="s">
        <v>268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customFormat="false" ht="31.5" hidden="false" customHeight="true" outlineLevel="0" collapsed="false">
      <c r="A80" s="5" t="n">
        <v>53</v>
      </c>
      <c r="B80" s="6" t="s">
        <v>269</v>
      </c>
      <c r="C80" s="6" t="s">
        <v>270</v>
      </c>
      <c r="D80" s="6" t="s">
        <v>271</v>
      </c>
      <c r="E80" s="7" t="s">
        <v>272</v>
      </c>
      <c r="F80" s="8" t="n">
        <v>1</v>
      </c>
      <c r="G80" s="9" t="n">
        <v>25</v>
      </c>
      <c r="H80" s="9" t="n">
        <f aca="false">F80*G80</f>
        <v>25</v>
      </c>
      <c r="I80" s="6" t="s">
        <v>29</v>
      </c>
      <c r="J80" s="10" t="s">
        <v>20</v>
      </c>
      <c r="K80" s="11" t="s">
        <v>273</v>
      </c>
      <c r="L80" s="6"/>
    </row>
    <row r="81" customFormat="false" ht="31.5" hidden="false" customHeight="true" outlineLevel="0" collapsed="false">
      <c r="A81" s="5" t="n">
        <v>54</v>
      </c>
      <c r="B81" s="6" t="s">
        <v>274</v>
      </c>
      <c r="C81" s="6" t="s">
        <v>275</v>
      </c>
      <c r="D81" s="6" t="s">
        <v>276</v>
      </c>
      <c r="E81" s="7" t="s">
        <v>277</v>
      </c>
      <c r="F81" s="8" t="n">
        <v>1</v>
      </c>
      <c r="G81" s="9" t="n">
        <v>8</v>
      </c>
      <c r="H81" s="9" t="n">
        <f aca="false">F81*G81</f>
        <v>8</v>
      </c>
      <c r="I81" s="6" t="s">
        <v>74</v>
      </c>
      <c r="J81" s="10" t="s">
        <v>20</v>
      </c>
      <c r="K81" s="11" t="s">
        <v>278</v>
      </c>
      <c r="L81" s="6"/>
    </row>
    <row r="82" customFormat="false" ht="31.5" hidden="false" customHeight="true" outlineLevel="0" collapsed="false">
      <c r="A82" s="5" t="n">
        <v>55</v>
      </c>
      <c r="B82" s="6" t="s">
        <v>279</v>
      </c>
      <c r="C82" s="6" t="s">
        <v>280</v>
      </c>
      <c r="D82" s="6" t="s">
        <v>55</v>
      </c>
      <c r="E82" s="7" t="s">
        <v>281</v>
      </c>
      <c r="F82" s="8" t="n">
        <v>1</v>
      </c>
      <c r="G82" s="9" t="n">
        <v>50</v>
      </c>
      <c r="H82" s="9" t="n">
        <f aca="false">F82*G82</f>
        <v>50</v>
      </c>
      <c r="I82" s="6" t="s">
        <v>29</v>
      </c>
      <c r="J82" s="10" t="s">
        <v>20</v>
      </c>
      <c r="K82" s="11" t="s">
        <v>282</v>
      </c>
      <c r="L82" s="6"/>
    </row>
    <row r="83" customFormat="false" ht="31.5" hidden="false" customHeight="true" outlineLevel="0" collapsed="false">
      <c r="A83" s="5" t="n">
        <v>56</v>
      </c>
      <c r="B83" s="6" t="s">
        <v>283</v>
      </c>
      <c r="C83" s="6" t="s">
        <v>284</v>
      </c>
      <c r="D83" s="6" t="s">
        <v>55</v>
      </c>
      <c r="E83" s="7" t="s">
        <v>285</v>
      </c>
      <c r="F83" s="8" t="n">
        <v>1</v>
      </c>
      <c r="G83" s="9" t="n">
        <v>30</v>
      </c>
      <c r="H83" s="9" t="n">
        <f aca="false">F83*G83</f>
        <v>30</v>
      </c>
      <c r="I83" s="6" t="s">
        <v>29</v>
      </c>
      <c r="J83" s="10" t="s">
        <v>20</v>
      </c>
      <c r="K83" s="11" t="s">
        <v>286</v>
      </c>
      <c r="L83" s="6"/>
    </row>
    <row r="84" customFormat="false" ht="36" hidden="false" customHeight="true" outlineLevel="0" collapsed="false">
      <c r="A84" s="5" t="n">
        <v>57</v>
      </c>
      <c r="B84" s="6" t="s">
        <v>287</v>
      </c>
      <c r="C84" s="6" t="s">
        <v>288</v>
      </c>
      <c r="D84" s="6" t="s">
        <v>289</v>
      </c>
      <c r="E84" s="7" t="s">
        <v>290</v>
      </c>
      <c r="F84" s="8" t="n">
        <v>1</v>
      </c>
      <c r="G84" s="9" t="n">
        <v>35</v>
      </c>
      <c r="H84" s="9" t="n">
        <f aca="false">F84*G84</f>
        <v>35</v>
      </c>
      <c r="I84" s="6" t="s">
        <v>29</v>
      </c>
      <c r="J84" s="10" t="s">
        <v>20</v>
      </c>
      <c r="K84" s="11" t="s">
        <v>291</v>
      </c>
      <c r="L84" s="6"/>
    </row>
    <row r="85" customFormat="false" ht="31.5" hidden="false" customHeight="true" outlineLevel="0" collapsed="false">
      <c r="A85" s="5" t="n">
        <v>58</v>
      </c>
      <c r="B85" s="6" t="s">
        <v>292</v>
      </c>
      <c r="C85" s="6" t="s">
        <v>293</v>
      </c>
      <c r="D85" s="6" t="s">
        <v>294</v>
      </c>
      <c r="E85" s="7" t="s">
        <v>295</v>
      </c>
      <c r="F85" s="8" t="n">
        <v>1</v>
      </c>
      <c r="G85" s="9" t="n">
        <v>10</v>
      </c>
      <c r="H85" s="9" t="n">
        <f aca="false">F85*G85</f>
        <v>10</v>
      </c>
      <c r="I85" s="6" t="s">
        <v>29</v>
      </c>
      <c r="J85" s="10" t="s">
        <v>20</v>
      </c>
      <c r="K85" s="11" t="s">
        <v>296</v>
      </c>
      <c r="L85" s="6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4" t="s">
        <v>58</v>
      </c>
      <c r="H86" s="15" t="n">
        <f aca="false">SUM(H80:H85)</f>
        <v>158</v>
      </c>
      <c r="I86" s="13"/>
      <c r="J86" s="13"/>
      <c r="K86" s="13"/>
      <c r="L86" s="13"/>
    </row>
    <row r="88" customFormat="false" ht="31.5" hidden="false" customHeight="true" outlineLevel="0" collapsed="false">
      <c r="A88" s="24" t="s">
        <v>297</v>
      </c>
      <c r="B88" s="24"/>
      <c r="C88" s="24"/>
      <c r="D88" s="24"/>
      <c r="E88" s="24"/>
      <c r="F88" s="24"/>
      <c r="G88" s="24"/>
      <c r="H88" s="25" t="n">
        <f aca="false">H15+H26+H43+H52+H59+H70+H77+H86</f>
        <v>1377.17</v>
      </c>
      <c r="I88" s="13"/>
      <c r="J88" s="13"/>
      <c r="K88" s="13"/>
      <c r="L88" s="13"/>
    </row>
    <row r="90" customFormat="false" ht="15" hidden="false" customHeight="false" outlineLevel="0" collapsed="false">
      <c r="A90" s="26" t="s">
        <v>298</v>
      </c>
      <c r="B90" s="26"/>
      <c r="C90" s="26"/>
      <c r="D90" s="26"/>
      <c r="E90" s="26"/>
      <c r="F90" s="26"/>
      <c r="G90" s="26"/>
      <c r="H90" s="27" t="n">
        <f aca="false">SUMIF(J6:J87,"P1",H6:H87)</f>
        <v>1040.17</v>
      </c>
      <c r="I90" s="13"/>
      <c r="J90" s="13"/>
      <c r="K90" s="13"/>
      <c r="L90" s="13"/>
    </row>
    <row r="91" customFormat="false" ht="15" hidden="false" customHeight="false" outlineLevel="0" collapsed="false">
      <c r="A91" s="28" t="s">
        <v>299</v>
      </c>
      <c r="B91" s="28"/>
      <c r="C91" s="28"/>
      <c r="D91" s="28"/>
      <c r="E91" s="28"/>
      <c r="F91" s="28"/>
      <c r="G91" s="28"/>
      <c r="H91" s="29" t="n">
        <f aca="false">SUMIF(J6:J87,"P2",H6:H87)</f>
        <v>337</v>
      </c>
      <c r="I91" s="13"/>
      <c r="J91" s="13"/>
      <c r="K91" s="13"/>
      <c r="L91" s="13"/>
    </row>
    <row r="92" customFormat="false" ht="15" hidden="false" customHeight="false" outlineLevel="0" collapsed="false">
      <c r="A92" s="30" t="s">
        <v>300</v>
      </c>
      <c r="B92" s="30"/>
      <c r="C92" s="30"/>
      <c r="D92" s="30"/>
      <c r="E92" s="30"/>
      <c r="F92" s="30"/>
      <c r="G92" s="30"/>
      <c r="H92" s="31" t="n">
        <f aca="false">SUMIF(J6:J87,"P3",H6:H87)</f>
        <v>0</v>
      </c>
      <c r="I92" s="13"/>
      <c r="J92" s="13"/>
      <c r="K92" s="13"/>
      <c r="L92" s="13"/>
    </row>
  </sheetData>
  <mergeCells count="14">
    <mergeCell ref="A1:L1"/>
    <mergeCell ref="A2:L2"/>
    <mergeCell ref="A6:L6"/>
    <mergeCell ref="A17:L17"/>
    <mergeCell ref="A28:L28"/>
    <mergeCell ref="A45:L45"/>
    <mergeCell ref="A54:L54"/>
    <mergeCell ref="A61:L61"/>
    <mergeCell ref="A72:L72"/>
    <mergeCell ref="A79:L79"/>
    <mergeCell ref="A88:G88"/>
    <mergeCell ref="A90:G90"/>
    <mergeCell ref="A91:G91"/>
    <mergeCell ref="A92:G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32" t="s">
        <v>301</v>
      </c>
      <c r="B1" s="32"/>
    </row>
    <row r="3" customFormat="false" ht="58.5" hidden="false" customHeight="true" outlineLevel="0" collapsed="false">
      <c r="A3" s="33" t="s">
        <v>302</v>
      </c>
      <c r="B3" s="34" t="s">
        <v>303</v>
      </c>
    </row>
    <row r="4" customFormat="false" ht="58.5" hidden="false" customHeight="true" outlineLevel="0" collapsed="false">
      <c r="A4" s="33" t="s">
        <v>304</v>
      </c>
      <c r="B4" s="34" t="s">
        <v>305</v>
      </c>
    </row>
    <row r="5" customFormat="false" ht="58.5" hidden="false" customHeight="true" outlineLevel="0" collapsed="false">
      <c r="A5" s="33" t="s">
        <v>306</v>
      </c>
      <c r="B5" s="34" t="s">
        <v>307</v>
      </c>
    </row>
    <row r="6" customFormat="false" ht="43.5" hidden="false" customHeight="true" outlineLevel="0" collapsed="false">
      <c r="A6" s="33" t="s">
        <v>308</v>
      </c>
      <c r="B6" s="34" t="s">
        <v>309</v>
      </c>
    </row>
    <row r="7" customFormat="false" ht="43.5" hidden="false" customHeight="true" outlineLevel="0" collapsed="false">
      <c r="A7" s="33" t="s">
        <v>310</v>
      </c>
      <c r="B7" s="34" t="s">
        <v>311</v>
      </c>
    </row>
    <row r="8" customFormat="false" ht="43.5" hidden="false" customHeight="true" outlineLevel="0" collapsed="false">
      <c r="A8" s="33" t="s">
        <v>312</v>
      </c>
      <c r="B8" s="34" t="s">
        <v>313</v>
      </c>
    </row>
    <row r="9" customFormat="false" ht="39.75" hidden="false" customHeight="true" outlineLevel="0" collapsed="false">
      <c r="A9" s="33" t="s">
        <v>314</v>
      </c>
      <c r="B9" s="34" t="s">
        <v>315</v>
      </c>
    </row>
    <row r="10" customFormat="false" ht="73.5" hidden="false" customHeight="true" outlineLevel="0" collapsed="false">
      <c r="A10" s="33" t="s">
        <v>316</v>
      </c>
      <c r="B10" s="34" t="s">
        <v>317</v>
      </c>
    </row>
    <row r="11" customFormat="false" ht="43.5" hidden="false" customHeight="true" outlineLevel="0" collapsed="false">
      <c r="A11" s="33" t="s">
        <v>318</v>
      </c>
      <c r="B11" s="34" t="s">
        <v>319</v>
      </c>
    </row>
    <row r="12" customFormat="false" ht="58.5" hidden="false" customHeight="true" outlineLevel="0" collapsed="false">
      <c r="A12" s="33" t="s">
        <v>320</v>
      </c>
      <c r="B12" s="34" t="s">
        <v>321</v>
      </c>
    </row>
    <row r="13" customFormat="false" ht="58.5" hidden="false" customHeight="true" outlineLevel="0" collapsed="false">
      <c r="A13" s="33" t="s">
        <v>322</v>
      </c>
      <c r="B13" s="34" t="s">
        <v>323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75"/>
  </cols>
  <sheetData>
    <row r="1" customFormat="false" ht="17.35" hidden="false" customHeight="false" outlineLevel="0" collapsed="false">
      <c r="A1" s="32" t="s">
        <v>324</v>
      </c>
      <c r="B1" s="32"/>
      <c r="C1" s="32"/>
    </row>
    <row r="3" customFormat="false" ht="24" hidden="false" customHeight="true" outlineLevel="0" collapsed="false">
      <c r="A3" s="35" t="s">
        <v>325</v>
      </c>
      <c r="B3" s="35" t="s">
        <v>326</v>
      </c>
      <c r="C3" s="35" t="s">
        <v>327</v>
      </c>
    </row>
    <row r="4" customFormat="false" ht="58.5" hidden="false" customHeight="true" outlineLevel="0" collapsed="false">
      <c r="A4" s="36" t="s">
        <v>328</v>
      </c>
      <c r="B4" s="37" t="s">
        <v>329</v>
      </c>
      <c r="C4" s="34" t="s">
        <v>330</v>
      </c>
    </row>
    <row r="5" customFormat="false" ht="58.5" hidden="false" customHeight="true" outlineLevel="0" collapsed="false">
      <c r="A5" s="36" t="s">
        <v>328</v>
      </c>
      <c r="B5" s="37" t="s">
        <v>331</v>
      </c>
      <c r="C5" s="34" t="s">
        <v>332</v>
      </c>
    </row>
    <row r="6" customFormat="false" ht="58.5" hidden="false" customHeight="true" outlineLevel="0" collapsed="false">
      <c r="A6" s="36" t="s">
        <v>333</v>
      </c>
      <c r="B6" s="37" t="s">
        <v>334</v>
      </c>
      <c r="C6" s="34" t="s">
        <v>335</v>
      </c>
    </row>
    <row r="7" customFormat="false" ht="39.75" hidden="false" customHeight="true" outlineLevel="0" collapsed="false">
      <c r="A7" s="36" t="s">
        <v>333</v>
      </c>
      <c r="B7" s="37" t="s">
        <v>336</v>
      </c>
      <c r="C7" s="34" t="s">
        <v>337</v>
      </c>
    </row>
    <row r="8" customFormat="false" ht="43.5" hidden="false" customHeight="true" outlineLevel="0" collapsed="false">
      <c r="A8" s="36" t="s">
        <v>338</v>
      </c>
      <c r="B8" s="37" t="s">
        <v>339</v>
      </c>
      <c r="C8" s="34" t="s">
        <v>340</v>
      </c>
    </row>
    <row r="9" customFormat="false" ht="39.75" hidden="false" customHeight="true" outlineLevel="0" collapsed="false">
      <c r="A9" s="36" t="s">
        <v>341</v>
      </c>
      <c r="B9" s="37" t="s">
        <v>342</v>
      </c>
      <c r="C9" s="34" t="s">
        <v>343</v>
      </c>
    </row>
    <row r="10" customFormat="false" ht="39.75" hidden="false" customHeight="true" outlineLevel="0" collapsed="false">
      <c r="A10" s="36" t="s">
        <v>344</v>
      </c>
      <c r="B10" s="37" t="s">
        <v>345</v>
      </c>
      <c r="C10" s="34" t="s">
        <v>346</v>
      </c>
    </row>
    <row r="11" customFormat="false" ht="39.75" hidden="false" customHeight="true" outlineLevel="0" collapsed="false">
      <c r="A11" s="36" t="s">
        <v>347</v>
      </c>
      <c r="B11" s="37" t="s">
        <v>348</v>
      </c>
      <c r="C11" s="34" t="s">
        <v>349</v>
      </c>
    </row>
    <row r="12" customFormat="false" ht="39.75" hidden="false" customHeight="true" outlineLevel="0" collapsed="false">
      <c r="A12" s="36" t="s">
        <v>350</v>
      </c>
      <c r="B12" s="37" t="s">
        <v>351</v>
      </c>
      <c r="C12" s="34" t="s">
        <v>352</v>
      </c>
    </row>
    <row r="13" customFormat="false" ht="39.75" hidden="false" customHeight="true" outlineLevel="0" collapsed="false">
      <c r="A13" s="36" t="s">
        <v>353</v>
      </c>
      <c r="B13" s="37" t="s">
        <v>354</v>
      </c>
      <c r="C13" s="34" t="s">
        <v>355</v>
      </c>
    </row>
    <row r="14" customFormat="false" ht="43.5" hidden="false" customHeight="true" outlineLevel="0" collapsed="false">
      <c r="A14" s="36" t="s">
        <v>356</v>
      </c>
      <c r="B14" s="37" t="s">
        <v>357</v>
      </c>
      <c r="C14" s="34" t="s">
        <v>358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2026-04-23T17:35:32Z</dcterms:created>
  <dc:creator>openpyxl</dc:creator>
  <dc:description/>
  <dc:language>en-US</dc:language>
  <cp:lastModifiedBy/>
  <dcterms:modified xsi:type="dcterms:W3CDTF">2026-04-23T17:35:32Z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